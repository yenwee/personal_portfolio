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of Accepted Companies" sheetId="1" state="visible" r:id="rId1"/>
    <sheet xmlns:r="http://schemas.openxmlformats.org/officeDocument/2006/relationships" name="2024" sheetId="2" state="visible" r:id="rId2"/>
    <sheet xmlns:r="http://schemas.openxmlformats.org/officeDocument/2006/relationships" name="2023" sheetId="3" state="visible" r:id="rId3"/>
    <sheet xmlns:r="http://schemas.openxmlformats.org/officeDocument/2006/relationships" name="2022" sheetId="4" state="visible" r:id="rId4"/>
    <sheet xmlns:r="http://schemas.openxmlformats.org/officeDocument/2006/relationships" name="Tested party" sheetId="5" state="visible" r:id="rId5"/>
    <sheet xmlns:r="http://schemas.openxmlformats.org/officeDocument/2006/relationships" name="Review Log" sheetId="6" state="visible" r:id="rId6"/>
  </sheets>
  <definedNames>
    <definedName name="CYEAR" hidden="0" function="0" vbProcedure="0">#REF!</definedName>
    <definedName name="originalsearchbook" hidden="0" function="0" vbProcedure="0">#REF!</definedName>
    <definedName name="SPWS_WBID" hidden="0" function="0" vbProcedure="0">"002F8228-FD93-4BEC-B182-B6CDDD4EA9E7"</definedName>
    <definedName name="_Order1" hidden="1" function="0" vbProcedure="0">255</definedName>
    <definedName name="_Order2" hidden="1" function="0" vbProcedure="0">255</definedName>
    <definedName name="CYEAR" localSheetId="0" hidden="0" function="0" vbProcedure="0">#REF!</definedName>
    <definedName name="originalsearchbook" localSheetId="0" hidden="0" function="0" vbProcedure="0">#REF!</definedName>
    <definedName name="_xlnm._FilterDatabase" localSheetId="0" hidden="1">'Summary of Accepted Companies'!$A$5:$IA$7</definedName>
    <definedName name="_xlnm.Print_Titles" localSheetId="0">'Summary of Accepted Companies'!$1:$5,'Summary of Accepted Companies'!$A:$E</definedName>
    <definedName name="_xlnm.Print_Area" localSheetId="0">'Summary of Accepted Companies'!$A$1:$G$17</definedName>
    <definedName name="_xlnm.Print_Area" localSheetId="1">'2024'!$A$1:$B$89</definedName>
    <definedName name="CYEAR" localSheetId="4" hidden="0" function="0" vbProcedure="0">#REF!</definedName>
    <definedName name="originalsearchbook" localSheetId="4" hidden="0" function="0" vbProcedure="0">#REF!</definedName>
    <definedName name="_xlnm.Print_Titles" localSheetId="4">'Tested party'!$1:$4,'Tested party'!$A:$A</definedName>
    <definedName name="_xlnm.Print_Area" localSheetId="4">'Tested party'!$A$1:$B$98</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409]d\-mmm\-yyyy;@"/>
    <numFmt numFmtId="165" formatCode="_(* #,##0_);_(* \(#,##0\);_(* \-??_);_(@_)"/>
  </numFmts>
  <fonts count="26">
    <font>
      <name val="Calibri"/>
      <charset val="1"/>
      <family val="2"/>
      <color theme="1"/>
      <sz val="11"/>
    </font>
    <font>
      <name val="Arial"/>
      <family val="0"/>
      <sz val="10"/>
    </font>
    <font>
      <name val="Arial"/>
      <family val="0"/>
      <sz val="10"/>
    </font>
    <font>
      <name val="Arial"/>
      <family val="0"/>
      <sz val="10"/>
    </font>
    <font>
      <name val="Arial"/>
      <charset val="1"/>
      <family val="2"/>
      <sz val="10"/>
    </font>
    <font>
      <name val="Times New Roman"/>
      <charset val="1"/>
      <family val="1"/>
      <b val="1"/>
      <sz val="10"/>
    </font>
    <font>
      <name val="Aptos"/>
      <charset val="1"/>
      <family val="2"/>
      <sz val="10"/>
    </font>
    <font>
      <name val="Aptos"/>
      <charset val="1"/>
      <family val="2"/>
      <b val="1"/>
      <sz val="10"/>
    </font>
    <font>
      <name val="Aptos"/>
      <charset val="1"/>
      <family val="2"/>
      <color rgb="FFFF0000"/>
      <sz val="10"/>
    </font>
    <font>
      <name val="Aptos"/>
      <charset val="1"/>
      <family val="2"/>
      <color theme="1"/>
      <sz val="11"/>
    </font>
    <font>
      <name val="Aptos"/>
      <charset val="1"/>
      <family val="2"/>
      <b val="1"/>
      <color theme="0"/>
      <sz val="10"/>
    </font>
    <font>
      <name val="Aptos"/>
      <charset val="1"/>
      <family val="2"/>
      <color rgb="FFFFFFFF"/>
      <sz val="10"/>
    </font>
    <font>
      <name val="Aptos"/>
      <charset val="1"/>
      <family val="2"/>
      <b val="1"/>
      <color theme="1"/>
      <sz val="10"/>
    </font>
    <font>
      <name val="Aptos"/>
      <charset val="1"/>
      <family val="2"/>
      <b val="1"/>
      <i val="1"/>
      <sz val="10"/>
    </font>
    <font>
      <name val="Arial"/>
      <family val="2"/>
      <sz val="10"/>
    </font>
    <font>
      <name val="Tahoma"/>
      <charset val="1"/>
      <family val="2"/>
      <color rgb="FF000000"/>
      <sz val="9"/>
    </font>
    <font>
      <name val="Aptos"/>
      <charset val="1"/>
      <family val="2"/>
      <color theme="1"/>
      <sz val="10"/>
    </font>
    <font>
      <name val="Aptos"/>
      <charset val="1"/>
      <family val="2"/>
      <i val="1"/>
      <color theme="1"/>
      <sz val="10"/>
    </font>
    <font>
      <name val="Aptos"/>
      <charset val="1"/>
      <family val="2"/>
      <i val="1"/>
      <color theme="0"/>
      <sz val="10"/>
    </font>
    <font>
      <name val="Aptos"/>
      <charset val="1"/>
      <family val="2"/>
      <b val="1"/>
      <color rgb="FFFF0000"/>
      <sz val="10"/>
    </font>
    <font>
      <name val="Aptos"/>
      <b val="1"/>
      <sz val="10"/>
    </font>
    <font>
      <name val="Aptos"/>
      <sz val="10"/>
    </font>
    <font>
      <name val="Aptos"/>
      <b val="1"/>
      <color rgb="FFFFFFFF"/>
      <sz val="10"/>
    </font>
    <font>
      <name val="Aptos"/>
      <b val="1"/>
      <sz val="14"/>
    </font>
    <font>
      <name val="Aptos"/>
      <i val="1"/>
      <sz val="10"/>
    </font>
    <font>
      <name val="Aptos"/>
      <b val="1"/>
      <color rgb="00FFFFFF"/>
      <sz val="10"/>
    </font>
  </fonts>
  <fills count="17">
    <fill>
      <patternFill/>
    </fill>
    <fill>
      <patternFill patternType="gray125"/>
    </fill>
    <fill>
      <patternFill patternType="solid">
        <fgColor rgb="FFC0C073"/>
        <bgColor rgb="FFBFBFBF"/>
      </patternFill>
    </fill>
    <fill>
      <patternFill patternType="solid">
        <fgColor theme="1"/>
        <bgColor rgb="FF003300"/>
      </patternFill>
    </fill>
    <fill>
      <patternFill patternType="solid">
        <fgColor rgb="FF92D050"/>
        <bgColor rgb="FF86BC25"/>
      </patternFill>
    </fill>
    <fill>
      <patternFill patternType="solid">
        <fgColor rgb="FF86BC25"/>
        <bgColor rgb="FF92D050"/>
      </patternFill>
    </fill>
    <fill>
      <patternFill patternType="solid">
        <fgColor theme="8" tint="0.7999000000000001"/>
        <bgColor rgb="FFD9D9D9"/>
      </patternFill>
    </fill>
    <fill>
      <patternFill patternType="solid">
        <fgColor theme="0" tint="-0.15"/>
        <bgColor rgb="FFDEEBF7"/>
      </patternFill>
    </fill>
    <fill>
      <patternFill patternType="solid">
        <fgColor rgb="FFFF0000"/>
        <bgColor rgb="FF993300"/>
      </patternFill>
    </fill>
    <fill>
      <patternFill patternType="solid">
        <fgColor theme="0" tint="-0.25"/>
        <bgColor rgb="FFC0C073"/>
      </patternFill>
    </fill>
    <fill>
      <patternFill patternType="solid">
        <fgColor rgb="FF00B050"/>
        <bgColor rgb="FF008080"/>
      </patternFill>
    </fill>
    <fill>
      <patternFill patternType="solid">
        <fgColor rgb="FFFFFF00"/>
        <bgColor rgb="FFFFFF00"/>
      </patternFill>
    </fill>
    <fill>
      <patternFill patternType="solid">
        <fgColor rgb="FF00B0F0"/>
        <bgColor rgb="FF33CCCC"/>
      </patternFill>
    </fill>
    <fill>
      <patternFill patternType="solid">
        <fgColor theme="2" tint="-0.5"/>
        <bgColor rgb="FF666699"/>
      </patternFill>
    </fill>
    <fill>
      <patternFill patternType="solid">
        <fgColor theme="7" tint="0.3999"/>
        <bgColor rgb="FFFFFF99"/>
      </patternFill>
    </fill>
    <fill>
      <patternFill patternType="solid">
        <fgColor rgb="FF86BC25"/>
        <bgColor rgb="FF86BC25"/>
      </patternFill>
    </fill>
    <fill>
      <patternFill patternType="solid"/>
    </fill>
  </fills>
  <borders count="15">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top style="thin"/>
      <bottom/>
      <diagonal/>
    </border>
    <border>
      <left style="thin"/>
      <right style="thin"/>
      <top/>
      <bottom/>
      <diagonal/>
    </border>
    <border>
      <left/>
      <right/>
      <top style="thin"/>
      <bottom style="double"/>
      <diagonal/>
    </border>
    <border>
      <left style="thin"/>
      <right style="thin"/>
      <top/>
      <bottom style="thin"/>
      <diagonal/>
    </border>
    <border>
      <left/>
      <right/>
      <top/>
      <bottom style="thin"/>
      <diagonal/>
    </border>
    <border>
      <left/>
      <right style="thin"/>
      <top/>
      <bottom/>
      <diagonal/>
    </border>
    <border>
      <left style="thin"/>
      <right style="thin"/>
      <top style="thin"/>
      <bottom style="double"/>
      <diagonal/>
    </border>
    <border>
      <left style="thin"/>
      <right/>
      <top/>
      <bottom/>
      <diagonal/>
    </border>
    <border>
      <left style="thin"/>
      <right style="thin"/>
      <top style="thin"/>
      <bottom style="thin"/>
    </border>
    <border>
      <left style="thin">
        <color rgb="00D0CECE"/>
      </left>
      <right style="thin">
        <color rgb="00D0CECE"/>
      </right>
      <top style="thin">
        <color rgb="00D0CECE"/>
      </top>
      <bottom style="thin">
        <color rgb="00D0CECE"/>
      </bottom>
    </border>
  </borders>
  <cellStyleXfs count="14">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cellStyleXfs>
  <cellXfs count="244">
    <xf numFmtId="0" fontId="0" fillId="0" borderId="0" applyAlignment="1" pivotButton="0" quotePrefix="0" xfId="0">
      <alignment horizontal="general" vertical="bottom"/>
    </xf>
    <xf numFmtId="0" fontId="6" fillId="0" borderId="0" applyAlignment="1" pivotButton="0" quotePrefix="0" xfId="24">
      <alignment horizontal="general" vertical="bottom"/>
    </xf>
    <xf numFmtId="0" fontId="6" fillId="0" borderId="0" applyAlignment="1" pivotButton="0" quotePrefix="0" xfId="24">
      <alignment horizontal="center" vertical="bottom"/>
    </xf>
    <xf numFmtId="0" fontId="0" fillId="0" borderId="0" applyAlignment="1" pivotButton="0" quotePrefix="0" xfId="0">
      <alignment horizontal="general" vertical="bottom"/>
    </xf>
    <xf numFmtId="0" fontId="6" fillId="0" borderId="0" applyAlignment="1" pivotButton="0" quotePrefix="0" xfId="24">
      <alignment horizontal="left" vertical="center"/>
    </xf>
    <xf numFmtId="0" fontId="7" fillId="0" borderId="0" applyAlignment="1" pivotButton="0" quotePrefix="0" xfId="23">
      <alignment horizontal="general" vertical="center"/>
    </xf>
    <xf numFmtId="0" fontId="8" fillId="0" borderId="0" applyAlignment="1" pivotButton="0" quotePrefix="0" xfId="24">
      <alignment horizontal="general" vertical="bottom"/>
    </xf>
    <xf numFmtId="0" fontId="8" fillId="0" borderId="0" applyAlignment="1" pivotButton="0" quotePrefix="0" xfId="24">
      <alignment horizontal="center" vertical="bottom"/>
    </xf>
    <xf numFmtId="0" fontId="9" fillId="0" borderId="0" applyAlignment="1" pivotButton="0" quotePrefix="0" xfId="0">
      <alignment horizontal="general" vertical="bottom"/>
    </xf>
    <xf numFmtId="0" fontId="10" fillId="3" borderId="1" applyAlignment="1" applyProtection="1" pivotButton="0" quotePrefix="0" xfId="24">
      <alignment horizontal="center" vertical="center" wrapText="1"/>
      <protection locked="1" hidden="1"/>
    </xf>
    <xf numFmtId="0" fontId="10" fillId="3" borderId="1" applyAlignment="1" applyProtection="1" pivotButton="0" quotePrefix="0" xfId="24">
      <alignment horizontal="left" vertical="center" wrapText="1"/>
      <protection locked="1" hidden="1"/>
    </xf>
    <xf numFmtId="0" fontId="10" fillId="3" borderId="2" applyAlignment="1" applyProtection="1" pivotButton="0" quotePrefix="0" xfId="27">
      <alignment horizontal="center" vertical="center" wrapText="1"/>
      <protection locked="1" hidden="1"/>
    </xf>
    <xf numFmtId="0" fontId="11" fillId="0" borderId="0" applyAlignment="1" pivotButton="0" quotePrefix="0" xfId="24">
      <alignment horizontal="right" vertical="bottom" wrapText="1"/>
    </xf>
    <xf numFmtId="0" fontId="12" fillId="4" borderId="1" applyAlignment="1" applyProtection="1" pivotButton="0" quotePrefix="0" xfId="27">
      <alignment horizontal="center" vertical="center" wrapText="1"/>
      <protection locked="1" hidden="1"/>
    </xf>
    <xf numFmtId="0" fontId="11" fillId="0" borderId="0" applyAlignment="1" pivotButton="0" quotePrefix="0" xfId="24">
      <alignment horizontal="right" vertical="center" wrapText="1"/>
    </xf>
    <xf numFmtId="0" fontId="6" fillId="3" borderId="2" applyAlignment="1" pivotButton="0" quotePrefix="0" xfId="24">
      <alignment horizontal="general" vertical="bottom"/>
    </xf>
    <xf numFmtId="0" fontId="6" fillId="3" borderId="3" applyAlignment="1" pivotButton="0" quotePrefix="0" xfId="24">
      <alignment horizontal="general" vertical="bottom"/>
    </xf>
    <xf numFmtId="0" fontId="6" fillId="3" borderId="4" applyAlignment="1" pivotButton="0" quotePrefix="0" xfId="24">
      <alignment horizontal="general" vertical="bottom"/>
    </xf>
    <xf numFmtId="0" fontId="10" fillId="3" borderId="2" applyAlignment="1" pivotButton="0" quotePrefix="0" xfId="24">
      <alignment horizontal="center" vertical="bottom"/>
    </xf>
    <xf numFmtId="0" fontId="10" fillId="5" borderId="0" applyAlignment="1" pivotButton="0" quotePrefix="0" xfId="24">
      <alignment horizontal="center" vertical="center" wrapText="1"/>
    </xf>
    <xf numFmtId="0" fontId="10" fillId="5" borderId="0" applyAlignment="1" pivotButton="0" quotePrefix="0" xfId="21">
      <alignment horizontal="left" vertical="center" wrapText="1"/>
    </xf>
    <xf numFmtId="0" fontId="13" fillId="0" borderId="0" applyAlignment="1" pivotButton="0" quotePrefix="0" xfId="24">
      <alignment horizontal="general" vertical="bottom"/>
    </xf>
    <xf numFmtId="10" fontId="10" fillId="5" borderId="5" applyAlignment="1" pivotButton="0" quotePrefix="0" xfId="26">
      <alignment horizontal="center" vertical="center" wrapText="1"/>
    </xf>
    <xf numFmtId="0" fontId="6" fillId="0" borderId="0" applyAlignment="1" pivotButton="0" quotePrefix="0" xfId="24">
      <alignment horizontal="right" vertical="top" wrapText="1"/>
    </xf>
    <xf numFmtId="0" fontId="7" fillId="0" borderId="0" applyAlignment="1" pivotButton="0" quotePrefix="0" xfId="24">
      <alignment horizontal="general" vertical="bottom"/>
    </xf>
    <xf numFmtId="0" fontId="10" fillId="3" borderId="1" applyAlignment="1" applyProtection="1" pivotButton="0" quotePrefix="0" xfId="27">
      <alignment horizontal="center" vertical="center" wrapText="1"/>
      <protection locked="1" hidden="1"/>
    </xf>
    <xf numFmtId="0" fontId="6" fillId="0" borderId="0" applyAlignment="1" pivotButton="0" quotePrefix="0" xfId="24">
      <alignment horizontal="right" vertical="center"/>
    </xf>
    <xf numFmtId="0" fontId="6" fillId="0" borderId="1" applyAlignment="1" pivotButton="0" quotePrefix="0" xfId="24">
      <alignment horizontal="right" vertical="center"/>
    </xf>
    <xf numFmtId="0" fontId="6" fillId="0" borderId="0" applyAlignment="1" pivotButton="0" quotePrefix="0" xfId="24">
      <alignment horizontal="general" vertical="center"/>
    </xf>
    <xf numFmtId="0" fontId="6" fillId="0" borderId="1" applyAlignment="1" pivotButton="0" quotePrefix="0" xfId="24">
      <alignment horizontal="center" vertical="center"/>
    </xf>
    <xf numFmtId="10" fontId="6" fillId="0" borderId="1" applyAlignment="1" pivotButton="0" quotePrefix="0" xfId="24">
      <alignment horizontal="center" vertical="center"/>
    </xf>
    <xf numFmtId="0" fontId="7" fillId="0" borderId="0" applyAlignment="1" pivotButton="0" quotePrefix="0" xfId="24">
      <alignment horizontal="right" vertical="center"/>
    </xf>
    <xf numFmtId="0" fontId="7" fillId="0" borderId="1" applyAlignment="1" pivotButton="0" quotePrefix="0" xfId="24">
      <alignment horizontal="right" vertical="center"/>
    </xf>
    <xf numFmtId="10" fontId="7" fillId="0" borderId="1" applyAlignment="1" pivotButton="0" quotePrefix="0" xfId="26">
      <alignment horizontal="center" vertical="center"/>
    </xf>
    <xf numFmtId="10" fontId="7" fillId="0" borderId="1" applyAlignment="1" pivotButton="0" quotePrefix="0" xfId="24">
      <alignment horizontal="center" vertical="center"/>
    </xf>
    <xf numFmtId="0" fontId="6" fillId="6" borderId="0" applyAlignment="1" pivotButton="0" quotePrefix="0" xfId="24">
      <alignment horizontal="right" vertical="bottom"/>
    </xf>
    <xf numFmtId="10" fontId="6" fillId="6" borderId="0" applyAlignment="1" pivotButton="0" quotePrefix="0" xfId="24">
      <alignment horizontal="center" vertical="center"/>
    </xf>
    <xf numFmtId="0" fontId="6" fillId="6" borderId="0" applyAlignment="1" pivotButton="0" quotePrefix="0" xfId="24">
      <alignment horizontal="center" vertical="center"/>
    </xf>
    <xf numFmtId="0" fontId="16" fillId="0" borderId="0" applyAlignment="1" pivotButton="0" quotePrefix="0" xfId="22">
      <alignment horizontal="left" vertical="top" wrapText="1"/>
    </xf>
    <xf numFmtId="0" fontId="16" fillId="0" borderId="0" applyAlignment="1" pivotButton="0" quotePrefix="0" xfId="22">
      <alignment horizontal="center" vertical="top" wrapText="1"/>
    </xf>
    <xf numFmtId="0" fontId="16" fillId="0" borderId="0" applyAlignment="1" pivotButton="0" quotePrefix="0" xfId="22">
      <alignment horizontal="general" vertical="bottom"/>
    </xf>
    <xf numFmtId="0" fontId="12" fillId="0" borderId="0" applyAlignment="1" pivotButton="0" quotePrefix="0" xfId="22">
      <alignment horizontal="left" vertical="top"/>
    </xf>
    <xf numFmtId="0" fontId="10" fillId="3" borderId="1" applyAlignment="1" pivotButton="0" quotePrefix="0" xfId="22">
      <alignment horizontal="left" vertical="center" wrapText="1"/>
    </xf>
    <xf numFmtId="0" fontId="10" fillId="3" borderId="3" applyAlignment="1" pivotButton="0" quotePrefix="0" xfId="22">
      <alignment horizontal="center" vertical="center" wrapText="1"/>
    </xf>
    <xf numFmtId="0" fontId="16" fillId="0" borderId="0" applyAlignment="1" pivotButton="0" quotePrefix="0" xfId="22">
      <alignment horizontal="general" vertical="bottom" wrapText="1"/>
    </xf>
    <xf numFmtId="0" fontId="16" fillId="0" borderId="6" applyAlignment="1" pivotButton="0" quotePrefix="0" xfId="22">
      <alignment horizontal="left" vertical="top" wrapText="1"/>
    </xf>
    <xf numFmtId="164" fontId="16" fillId="0" borderId="0" applyAlignment="1" pivotButton="0" quotePrefix="0" xfId="22">
      <alignment horizontal="center" vertical="top" wrapText="1"/>
    </xf>
    <xf numFmtId="0" fontId="16" fillId="7" borderId="0" applyAlignment="1" pivotButton="0" quotePrefix="0" xfId="22">
      <alignment horizontal="general" vertical="bottom"/>
    </xf>
    <xf numFmtId="0" fontId="12" fillId="0" borderId="6" applyAlignment="1" pivotButton="0" quotePrefix="0" xfId="22">
      <alignment horizontal="left" vertical="top" wrapText="1"/>
    </xf>
    <xf numFmtId="0" fontId="16" fillId="7" borderId="6" applyAlignment="1" pivotButton="0" quotePrefix="0" xfId="22">
      <alignment horizontal="left" vertical="top" wrapText="1"/>
    </xf>
    <xf numFmtId="165" fontId="16" fillId="7" borderId="0" applyAlignment="1" pivotButton="0" quotePrefix="0" xfId="20">
      <alignment horizontal="center" vertical="top" wrapText="1"/>
    </xf>
    <xf numFmtId="165" fontId="16" fillId="0" borderId="0" applyAlignment="1" pivotButton="0" quotePrefix="0" xfId="20">
      <alignment horizontal="center" vertical="top" wrapText="1"/>
    </xf>
    <xf numFmtId="0" fontId="16" fillId="7" borderId="6" applyAlignment="1" pivotButton="0" quotePrefix="0" xfId="22">
      <alignment horizontal="left" vertical="top" wrapText="1" indent="2"/>
    </xf>
    <xf numFmtId="165" fontId="16" fillId="0" borderId="7" applyAlignment="1" pivotButton="0" quotePrefix="0" xfId="20">
      <alignment horizontal="center" vertical="top" wrapText="1"/>
    </xf>
    <xf numFmtId="0" fontId="17" fillId="0" borderId="6" applyAlignment="1" pivotButton="0" quotePrefix="0" xfId="22">
      <alignment horizontal="left" vertical="top" wrapText="1"/>
    </xf>
    <xf numFmtId="3" fontId="16" fillId="0" borderId="0" applyAlignment="1" pivotButton="0" quotePrefix="0" xfId="22">
      <alignment horizontal="center" vertical="top" wrapText="1"/>
    </xf>
    <xf numFmtId="0" fontId="16" fillId="0" borderId="6" applyAlignment="1" pivotButton="0" quotePrefix="0" xfId="22">
      <alignment horizontal="left" vertical="top" wrapText="1" indent="2"/>
    </xf>
    <xf numFmtId="165" fontId="16" fillId="0" borderId="0" applyAlignment="1" pivotButton="0" quotePrefix="0" xfId="22">
      <alignment horizontal="center" vertical="top" wrapText="1"/>
    </xf>
    <xf numFmtId="10" fontId="16" fillId="0" borderId="0" applyAlignment="1" pivotButton="0" quotePrefix="0" xfId="25">
      <alignment horizontal="center" vertical="top" wrapText="1"/>
    </xf>
    <xf numFmtId="10" fontId="16" fillId="0" borderId="0" applyAlignment="1" pivotButton="0" quotePrefix="0" xfId="22">
      <alignment horizontal="center" vertical="top" wrapText="1"/>
    </xf>
    <xf numFmtId="0" fontId="16" fillId="0" borderId="8" applyAlignment="1" pivotButton="0" quotePrefix="0" xfId="22">
      <alignment horizontal="left" vertical="top" wrapText="1" indent="2"/>
    </xf>
    <xf numFmtId="10" fontId="16" fillId="0" borderId="9" applyAlignment="1" pivotButton="0" quotePrefix="0" xfId="22">
      <alignment horizontal="center" vertical="top" wrapText="1"/>
    </xf>
    <xf numFmtId="2" fontId="16" fillId="0" borderId="0" applyAlignment="1" pivotButton="0" quotePrefix="0" xfId="22">
      <alignment horizontal="center" vertical="top" wrapText="1"/>
    </xf>
    <xf numFmtId="0" fontId="16" fillId="8" borderId="0" applyAlignment="1" pivotButton="0" quotePrefix="0" xfId="22">
      <alignment horizontal="general" vertical="bottom"/>
    </xf>
    <xf numFmtId="0" fontId="16" fillId="9" borderId="0" applyAlignment="1" pivotButton="0" quotePrefix="0" xfId="22">
      <alignment horizontal="general" vertical="bottom"/>
    </xf>
    <xf numFmtId="0" fontId="16" fillId="10" borderId="0" applyAlignment="1" pivotButton="0" quotePrefix="0" xfId="22">
      <alignment horizontal="general" vertical="bottom"/>
    </xf>
    <xf numFmtId="0" fontId="12" fillId="11" borderId="1" applyAlignment="1" pivotButton="0" quotePrefix="0" xfId="22">
      <alignment horizontal="left" vertical="top" wrapText="1"/>
    </xf>
    <xf numFmtId="0" fontId="16" fillId="0" borderId="1" applyAlignment="1" pivotButton="0" quotePrefix="0" xfId="22">
      <alignment horizontal="center" vertical="top" wrapText="1"/>
    </xf>
    <xf numFmtId="0" fontId="17" fillId="11" borderId="1" applyAlignment="1" pivotButton="0" quotePrefix="0" xfId="22">
      <alignment horizontal="left" vertical="top" wrapText="1"/>
    </xf>
    <xf numFmtId="0" fontId="16" fillId="12" borderId="0" applyAlignment="1" pivotButton="0" quotePrefix="0" xfId="22">
      <alignment horizontal="general" vertical="bottom"/>
    </xf>
    <xf numFmtId="0" fontId="16" fillId="13" borderId="0" applyAlignment="1" pivotButton="0" quotePrefix="0" xfId="22">
      <alignment horizontal="general" vertical="bottom"/>
    </xf>
    <xf numFmtId="3" fontId="16" fillId="0" borderId="1" applyAlignment="1" pivotButton="0" quotePrefix="0" xfId="22">
      <alignment horizontal="center" vertical="top" wrapText="1"/>
    </xf>
    <xf numFmtId="0" fontId="16" fillId="14" borderId="0" applyAlignment="1" pivotButton="0" quotePrefix="0" xfId="22">
      <alignment horizontal="general" vertical="bottom"/>
    </xf>
    <xf numFmtId="0" fontId="18" fillId="3" borderId="1" applyAlignment="1" pivotButton="0" quotePrefix="0" xfId="22">
      <alignment horizontal="left" vertical="top" wrapText="1"/>
    </xf>
    <xf numFmtId="0" fontId="16" fillId="8" borderId="1" applyAlignment="1" pivotButton="0" quotePrefix="0" xfId="22">
      <alignment horizontal="left" vertical="top" wrapText="1" indent="2"/>
    </xf>
    <xf numFmtId="0" fontId="16" fillId="8" borderId="1" applyAlignment="1" pivotButton="0" quotePrefix="0" xfId="22">
      <alignment horizontal="center" vertical="top" wrapText="1"/>
    </xf>
    <xf numFmtId="0" fontId="16" fillId="9" borderId="1" applyAlignment="1" pivotButton="0" quotePrefix="0" xfId="22">
      <alignment horizontal="left" vertical="top" wrapText="1" indent="2"/>
    </xf>
    <xf numFmtId="0" fontId="16" fillId="9" borderId="1" applyAlignment="1" pivotButton="0" quotePrefix="0" xfId="22">
      <alignment horizontal="center" vertical="top" wrapText="1"/>
    </xf>
    <xf numFmtId="0" fontId="16" fillId="10" borderId="1" applyAlignment="1" pivotButton="0" quotePrefix="0" xfId="22">
      <alignment horizontal="left" vertical="top" wrapText="1" indent="2"/>
    </xf>
    <xf numFmtId="0" fontId="16" fillId="10" borderId="1" applyAlignment="1" pivotButton="0" quotePrefix="0" xfId="22">
      <alignment horizontal="center" vertical="top" wrapText="1"/>
    </xf>
    <xf numFmtId="0" fontId="16" fillId="11" borderId="1" applyAlignment="1" pivotButton="0" quotePrefix="0" xfId="22">
      <alignment horizontal="left" vertical="top" wrapText="1" indent="2"/>
    </xf>
    <xf numFmtId="0" fontId="16" fillId="12" borderId="1" applyAlignment="1" pivotButton="0" quotePrefix="0" xfId="22">
      <alignment horizontal="left" vertical="top" wrapText="1" indent="2"/>
    </xf>
    <xf numFmtId="0" fontId="16" fillId="12" borderId="1" applyAlignment="1" pivotButton="0" quotePrefix="0" xfId="22">
      <alignment horizontal="center" vertical="top" wrapText="1"/>
    </xf>
    <xf numFmtId="0" fontId="16" fillId="13" borderId="1" applyAlignment="1" pivotButton="0" quotePrefix="0" xfId="22">
      <alignment horizontal="left" vertical="top" wrapText="1" indent="2"/>
    </xf>
    <xf numFmtId="0" fontId="16" fillId="13" borderId="1" applyAlignment="1" pivotButton="0" quotePrefix="0" xfId="22">
      <alignment horizontal="center" vertical="top" wrapText="1"/>
    </xf>
    <xf numFmtId="0" fontId="16" fillId="14" borderId="1" applyAlignment="1" pivotButton="0" quotePrefix="0" xfId="22">
      <alignment horizontal="left" vertical="top" wrapText="1" indent="2"/>
    </xf>
    <xf numFmtId="0" fontId="16" fillId="14" borderId="1" applyAlignment="1" pivotButton="0" quotePrefix="0" xfId="22">
      <alignment horizontal="center" vertical="top" wrapText="1"/>
    </xf>
    <xf numFmtId="0" fontId="16" fillId="0" borderId="10" applyAlignment="1" pivotButton="0" quotePrefix="0" xfId="22">
      <alignment horizontal="left" vertical="top" wrapText="1"/>
    </xf>
    <xf numFmtId="0" fontId="19" fillId="0" borderId="0" applyAlignment="1" pivotButton="0" quotePrefix="0" xfId="22">
      <alignment horizontal="center" vertical="top"/>
    </xf>
    <xf numFmtId="0" fontId="10" fillId="3" borderId="1" applyAlignment="1" pivotButton="0" quotePrefix="0" xfId="22">
      <alignment horizontal="center" vertical="center" wrapText="1"/>
    </xf>
    <xf numFmtId="164" fontId="16" fillId="0" borderId="6" applyAlignment="1" pivotButton="0" quotePrefix="0" xfId="22">
      <alignment horizontal="center" vertical="top" wrapText="1"/>
    </xf>
    <xf numFmtId="0" fontId="12" fillId="0" borderId="10" applyAlignment="1" pivotButton="0" quotePrefix="0" xfId="22">
      <alignment horizontal="left" vertical="top" wrapText="1"/>
    </xf>
    <xf numFmtId="165" fontId="16" fillId="7" borderId="10" applyAlignment="1" pivotButton="0" quotePrefix="0" xfId="20">
      <alignment horizontal="left" vertical="top" wrapText="1"/>
    </xf>
    <xf numFmtId="165" fontId="16" fillId="0" borderId="6" applyAlignment="1" pivotButton="0" quotePrefix="0" xfId="20">
      <alignment horizontal="center" vertical="top" wrapText="1"/>
    </xf>
    <xf numFmtId="165" fontId="16" fillId="7" borderId="10" applyAlignment="1" pivotButton="0" quotePrefix="0" xfId="20">
      <alignment horizontal="left" vertical="top" wrapText="1" indent="2"/>
    </xf>
    <xf numFmtId="165" fontId="16" fillId="0" borderId="11" applyAlignment="1" pivotButton="0" quotePrefix="0" xfId="20">
      <alignment horizontal="center" vertical="top" wrapText="1"/>
    </xf>
    <xf numFmtId="165" fontId="16" fillId="0" borderId="10" applyAlignment="1" pivotButton="0" quotePrefix="0" xfId="15">
      <alignment horizontal="left" vertical="top" wrapText="1"/>
    </xf>
    <xf numFmtId="0" fontId="17" fillId="0" borderId="10" applyAlignment="1" pivotButton="0" quotePrefix="0" xfId="22">
      <alignment horizontal="left" vertical="top" wrapText="1"/>
    </xf>
    <xf numFmtId="0" fontId="16" fillId="0" borderId="10" applyAlignment="1" pivotButton="0" quotePrefix="0" xfId="22">
      <alignment horizontal="left" vertical="top" wrapText="1" indent="2"/>
    </xf>
    <xf numFmtId="10" fontId="16" fillId="0" borderId="6" applyAlignment="1" pivotButton="0" quotePrefix="0" xfId="25">
      <alignment horizontal="center" vertical="top" wrapText="1"/>
    </xf>
    <xf numFmtId="10" fontId="16" fillId="0" borderId="8" applyAlignment="1" pivotButton="0" quotePrefix="0" xfId="22">
      <alignment horizontal="center" vertical="top" wrapText="1"/>
    </xf>
    <xf numFmtId="10" fontId="16" fillId="0" borderId="6" applyAlignment="1" pivotButton="0" quotePrefix="0" xfId="22">
      <alignment horizontal="center" vertical="top" wrapText="1"/>
    </xf>
    <xf numFmtId="0" fontId="16" fillId="0" borderId="6" applyAlignment="1" pivotButton="0" quotePrefix="0" xfId="22">
      <alignment horizontal="center" vertical="top" wrapText="1"/>
    </xf>
    <xf numFmtId="2" fontId="16" fillId="0" borderId="6" applyAlignment="1" pivotButton="0" quotePrefix="0" xfId="22">
      <alignment horizontal="center" vertical="top" wrapText="1"/>
    </xf>
    <xf numFmtId="0" fontId="12" fillId="0" borderId="1" applyAlignment="1" pivotButton="0" quotePrefix="0" xfId="22">
      <alignment horizontal="left" vertical="top" wrapText="1"/>
    </xf>
    <xf numFmtId="0" fontId="17" fillId="0" borderId="1" applyAlignment="1" pivotButton="0" quotePrefix="0" xfId="22">
      <alignment horizontal="left" vertical="top" wrapText="1"/>
    </xf>
    <xf numFmtId="0" fontId="18" fillId="0" borderId="1" applyAlignment="1" pivotButton="0" quotePrefix="0" xfId="22">
      <alignment horizontal="left" vertical="top" wrapText="1"/>
    </xf>
    <xf numFmtId="0" fontId="16" fillId="0" borderId="1" applyAlignment="1" pivotButton="0" quotePrefix="0" xfId="22">
      <alignment horizontal="left" vertical="top" wrapText="1" indent="2"/>
    </xf>
    <xf numFmtId="0" fontId="6" fillId="0" borderId="0" applyAlignment="1" pivotButton="0" quotePrefix="0" xfId="24">
      <alignment horizontal="general" vertical="bottom"/>
    </xf>
    <xf numFmtId="0" fontId="6" fillId="0" borderId="0" applyAlignment="1" pivotButton="0" quotePrefix="0" xfId="24">
      <alignment horizontal="center" vertical="bottom"/>
    </xf>
    <xf numFmtId="0" fontId="0" fillId="0" borderId="0" applyAlignment="1" pivotButton="0" quotePrefix="0" xfId="0">
      <alignment horizontal="general" vertical="bottom"/>
    </xf>
    <xf numFmtId="0" fontId="6" fillId="0" borderId="0" applyAlignment="1" pivotButton="0" quotePrefix="0" xfId="24">
      <alignment horizontal="left" vertical="center"/>
    </xf>
    <xf numFmtId="0" fontId="0" fillId="0" borderId="0" pivotButton="0" quotePrefix="0" xfId="0"/>
    <xf numFmtId="0" fontId="20" fillId="0" borderId="0" applyAlignment="1" pivotButton="0" quotePrefix="0" xfId="23">
      <alignment horizontal="general" vertical="center"/>
    </xf>
    <xf numFmtId="0" fontId="8" fillId="0" borderId="0" applyAlignment="1" pivotButton="0" quotePrefix="0" xfId="24">
      <alignment horizontal="general" vertical="bottom"/>
    </xf>
    <xf numFmtId="0" fontId="8" fillId="0" borderId="0" applyAlignment="1" pivotButton="0" quotePrefix="0" xfId="24">
      <alignment horizontal="center" vertical="center"/>
    </xf>
    <xf numFmtId="0" fontId="0" fillId="0" borderId="0" applyAlignment="1" pivotButton="0" quotePrefix="0" xfId="0">
      <alignment horizontal="center" vertical="center"/>
    </xf>
    <xf numFmtId="0" fontId="9" fillId="0" borderId="0" applyAlignment="1" pivotButton="0" quotePrefix="0" xfId="0">
      <alignment horizontal="general" vertical="bottom"/>
    </xf>
    <xf numFmtId="0" fontId="11" fillId="0" borderId="0" applyAlignment="1" pivotButton="0" quotePrefix="0" xfId="24">
      <alignment horizontal="right" vertical="bottom" wrapText="1"/>
    </xf>
    <xf numFmtId="0" fontId="20" fillId="3" borderId="13" applyAlignment="1" applyProtection="1" pivotButton="0" quotePrefix="0" xfId="24">
      <alignment horizontal="center" vertical="center" wrapText="1"/>
      <protection locked="1" hidden="1"/>
    </xf>
    <xf numFmtId="0" fontId="20" fillId="3" borderId="13" applyAlignment="1" applyProtection="1" pivotButton="0" quotePrefix="0" xfId="24">
      <alignment horizontal="left" vertical="center" wrapText="1"/>
      <protection locked="1" hidden="1"/>
    </xf>
    <xf numFmtId="0" fontId="10" fillId="3" borderId="2" applyAlignment="1" applyProtection="1" pivotButton="0" quotePrefix="0" xfId="27">
      <alignment horizontal="center" vertical="center"/>
      <protection locked="1" hidden="1"/>
    </xf>
    <xf numFmtId="0" fontId="11" fillId="0" borderId="0" applyAlignment="1" pivotButton="0" quotePrefix="0" xfId="24">
      <alignment horizontal="right" vertical="center" wrapText="1"/>
    </xf>
    <xf numFmtId="0" fontId="0" fillId="0" borderId="8" applyProtection="1" pivotButton="0" quotePrefix="0" xfId="0">
      <protection locked="1" hidden="1"/>
    </xf>
    <xf numFmtId="0" fontId="12" fillId="4" borderId="1" applyAlignment="1" applyProtection="1" pivotButton="0" quotePrefix="0" xfId="27">
      <alignment horizontal="center" vertical="center"/>
      <protection locked="1" hidden="1"/>
    </xf>
    <xf numFmtId="0" fontId="21" fillId="0" borderId="13" applyAlignment="1" pivotButton="0" quotePrefix="0" xfId="0">
      <alignment horizontal="center" vertical="top"/>
    </xf>
    <xf numFmtId="0" fontId="21" fillId="0" borderId="13" applyAlignment="1" pivotButton="0" quotePrefix="0" xfId="0">
      <alignment horizontal="left" vertical="top" wrapText="1"/>
    </xf>
    <xf numFmtId="10" fontId="21" fillId="0" borderId="13" applyAlignment="1" pivotButton="0" quotePrefix="0" xfId="0">
      <alignment horizontal="center" vertical="center"/>
    </xf>
    <xf numFmtId="0" fontId="6" fillId="3" borderId="2" applyAlignment="1" pivotButton="0" quotePrefix="0" xfId="24">
      <alignment horizontal="general" vertical="bottom"/>
    </xf>
    <xf numFmtId="0" fontId="6" fillId="3" borderId="3" applyAlignment="1" pivotButton="0" quotePrefix="0" xfId="24">
      <alignment horizontal="general" vertical="bottom"/>
    </xf>
    <xf numFmtId="0" fontId="6" fillId="3" borderId="4" applyAlignment="1" pivotButton="0" quotePrefix="0" xfId="24">
      <alignment horizontal="center" vertical="center"/>
    </xf>
    <xf numFmtId="0" fontId="10" fillId="3" borderId="2" applyAlignment="1" pivotButton="0" quotePrefix="0" xfId="24">
      <alignment horizontal="center" vertical="center"/>
    </xf>
    <xf numFmtId="0" fontId="22" fillId="15" borderId="0" applyAlignment="1" pivotButton="0" quotePrefix="0" xfId="24">
      <alignment horizontal="center" vertical="center" wrapText="1"/>
    </xf>
    <xf numFmtId="0" fontId="22" fillId="15" borderId="0" applyAlignment="1" pivotButton="0" quotePrefix="0" xfId="21">
      <alignment horizontal="left" vertical="center" wrapText="1"/>
    </xf>
    <xf numFmtId="0" fontId="22" fillId="15" borderId="0" applyAlignment="1" pivotButton="0" quotePrefix="0" xfId="0">
      <alignment horizontal="left" vertical="top" wrapText="1"/>
    </xf>
    <xf numFmtId="0" fontId="0" fillId="15" borderId="0" pivotButton="0" quotePrefix="0" xfId="0"/>
    <xf numFmtId="0" fontId="13" fillId="0" borderId="0" applyAlignment="1" pivotButton="0" quotePrefix="0" xfId="24">
      <alignment horizontal="general" vertical="bottom"/>
    </xf>
    <xf numFmtId="10" fontId="22" fillId="15" borderId="5" applyAlignment="1" pivotButton="0" quotePrefix="0" xfId="26">
      <alignment horizontal="center" vertical="center"/>
    </xf>
    <xf numFmtId="0" fontId="6" fillId="0" borderId="0" applyAlignment="1" pivotButton="0" quotePrefix="0" xfId="24">
      <alignment horizontal="right" vertical="top" wrapText="1"/>
    </xf>
    <xf numFmtId="0" fontId="7" fillId="0" borderId="0" applyAlignment="1" pivotButton="0" quotePrefix="0" xfId="24">
      <alignment horizontal="general" vertical="bottom"/>
    </xf>
    <xf numFmtId="0" fontId="6" fillId="0" borderId="0" applyAlignment="1" pivotButton="0" quotePrefix="0" xfId="24">
      <alignment horizontal="center" vertical="center"/>
    </xf>
    <xf numFmtId="0" fontId="10" fillId="3" borderId="1" applyAlignment="1" applyProtection="1" pivotButton="0" quotePrefix="0" xfId="27">
      <alignment horizontal="center" vertical="center"/>
      <protection locked="1" hidden="1"/>
    </xf>
    <xf numFmtId="0" fontId="6" fillId="0" borderId="0" applyAlignment="1" pivotButton="0" quotePrefix="0" xfId="24">
      <alignment horizontal="right" vertical="center"/>
    </xf>
    <xf numFmtId="0" fontId="6" fillId="0" borderId="1" applyAlignment="1" pivotButton="0" quotePrefix="0" xfId="24">
      <alignment horizontal="center" vertical="center"/>
    </xf>
    <xf numFmtId="0" fontId="6" fillId="0" borderId="0" applyAlignment="1" pivotButton="0" quotePrefix="0" xfId="24">
      <alignment horizontal="general" vertical="center"/>
    </xf>
    <xf numFmtId="10" fontId="6" fillId="0" borderId="1" applyAlignment="1" pivotButton="0" quotePrefix="0" xfId="24">
      <alignment horizontal="center" vertical="center"/>
    </xf>
    <xf numFmtId="0" fontId="7" fillId="0" borderId="0" applyAlignment="1" pivotButton="0" quotePrefix="0" xfId="24">
      <alignment horizontal="right" vertical="center"/>
    </xf>
    <xf numFmtId="0" fontId="7" fillId="0" borderId="1" applyAlignment="1" pivotButton="0" quotePrefix="0" xfId="24">
      <alignment horizontal="center" vertical="center"/>
    </xf>
    <xf numFmtId="10" fontId="7" fillId="0" borderId="1" applyAlignment="1" pivotButton="0" quotePrefix="0" xfId="26">
      <alignment horizontal="center" vertical="center"/>
    </xf>
    <xf numFmtId="10" fontId="7" fillId="0" borderId="1" applyAlignment="1" pivotButton="0" quotePrefix="0" xfId="24">
      <alignment horizontal="center" vertical="center"/>
    </xf>
    <xf numFmtId="0" fontId="6" fillId="6" borderId="0" applyAlignment="1" pivotButton="0" quotePrefix="0" xfId="24">
      <alignment horizontal="center" vertical="center"/>
    </xf>
    <xf numFmtId="10" fontId="6" fillId="6" borderId="0" applyAlignment="1" pivotButton="0" quotePrefix="0" xfId="24">
      <alignment horizontal="center" vertical="center"/>
    </xf>
    <xf numFmtId="0" fontId="16" fillId="0" borderId="0" applyAlignment="1" pivotButton="0" quotePrefix="0" xfId="22">
      <alignment horizontal="left" vertical="top" wrapText="1"/>
    </xf>
    <xf numFmtId="0" fontId="16" fillId="0" borderId="0" applyAlignment="1" pivotButton="0" quotePrefix="0" xfId="22">
      <alignment horizontal="center" vertical="top" wrapText="1"/>
    </xf>
    <xf numFmtId="0" fontId="16" fillId="0" borderId="0" applyAlignment="1" pivotButton="0" quotePrefix="0" xfId="22">
      <alignment horizontal="general" vertical="bottom"/>
    </xf>
    <xf numFmtId="0" fontId="7" fillId="0" borderId="0" applyAlignment="1" pivotButton="0" quotePrefix="0" xfId="23">
      <alignment horizontal="general" vertical="center"/>
    </xf>
    <xf numFmtId="0" fontId="16" fillId="0" borderId="0" applyAlignment="1" pivotButton="0" quotePrefix="0" xfId="0">
      <alignment horizontal="general" vertical="bottom"/>
    </xf>
    <xf numFmtId="0" fontId="12" fillId="0" borderId="0" applyAlignment="1" pivotButton="0" quotePrefix="0" xfId="22">
      <alignment horizontal="left" vertical="top"/>
    </xf>
    <xf numFmtId="0" fontId="10" fillId="3" borderId="1" applyAlignment="1" pivotButton="0" quotePrefix="0" xfId="22">
      <alignment horizontal="left" vertical="center" wrapText="1"/>
    </xf>
    <xf numFmtId="0" fontId="10" fillId="3" borderId="3" applyAlignment="1" pivotButton="0" quotePrefix="0" xfId="22">
      <alignment horizontal="center" vertical="center" wrapText="1"/>
    </xf>
    <xf numFmtId="0" fontId="10" fillId="3" borderId="3" applyAlignment="1" pivotButton="0" quotePrefix="0" xfId="0">
      <alignment horizontal="center" vertical="center" wrapText="1"/>
    </xf>
    <xf numFmtId="0" fontId="16" fillId="0" borderId="0" applyAlignment="1" pivotButton="0" quotePrefix="0" xfId="22">
      <alignment horizontal="general" vertical="bottom" wrapText="1"/>
    </xf>
    <xf numFmtId="0" fontId="16" fillId="0" borderId="6" applyAlignment="1" pivotButton="0" quotePrefix="0" xfId="22">
      <alignment horizontal="left" vertical="top" wrapText="1"/>
    </xf>
    <xf numFmtId="164" fontId="16" fillId="0" borderId="0" applyAlignment="1" pivotButton="0" quotePrefix="0" xfId="22">
      <alignment horizontal="center" vertical="top" wrapText="1"/>
    </xf>
    <xf numFmtId="164" fontId="16" fillId="0" borderId="0" applyAlignment="1" pivotButton="0" quotePrefix="0" xfId="0">
      <alignment horizontal="center" vertical="top" wrapText="1"/>
    </xf>
    <xf numFmtId="0" fontId="16" fillId="7" borderId="0" applyAlignment="1" pivotButton="0" quotePrefix="0" xfId="22">
      <alignment horizontal="general" vertical="bottom"/>
    </xf>
    <xf numFmtId="0" fontId="12" fillId="0" borderId="6" applyAlignment="1" pivotButton="0" quotePrefix="0" xfId="22">
      <alignment horizontal="left" vertical="top" wrapText="1"/>
    </xf>
    <xf numFmtId="0" fontId="16" fillId="7" borderId="6" applyAlignment="1" pivotButton="0" quotePrefix="0" xfId="22">
      <alignment horizontal="left" vertical="top" wrapText="1"/>
    </xf>
    <xf numFmtId="165" fontId="16" fillId="7" borderId="0" applyAlignment="1" pivotButton="0" quotePrefix="0" xfId="20">
      <alignment horizontal="center" vertical="top" wrapText="1"/>
    </xf>
    <xf numFmtId="165" fontId="16" fillId="7" borderId="0" applyAlignment="1" pivotButton="0" quotePrefix="0" xfId="0">
      <alignment horizontal="center" vertical="top" wrapText="1"/>
    </xf>
    <xf numFmtId="165" fontId="16" fillId="0" borderId="0" applyAlignment="1" pivotButton="0" quotePrefix="0" xfId="20">
      <alignment horizontal="center" vertical="top" wrapText="1"/>
    </xf>
    <xf numFmtId="165" fontId="16" fillId="0" borderId="0" applyAlignment="1" pivotButton="0" quotePrefix="0" xfId="0">
      <alignment horizontal="center" vertical="top" wrapText="1"/>
    </xf>
    <xf numFmtId="0" fontId="16" fillId="7" borderId="6" applyAlignment="1" pivotButton="0" quotePrefix="0" xfId="22">
      <alignment horizontal="left" vertical="top" wrapText="1" indent="2"/>
    </xf>
    <xf numFmtId="165" fontId="16" fillId="0" borderId="7" applyAlignment="1" pivotButton="0" quotePrefix="0" xfId="20">
      <alignment horizontal="center" vertical="top" wrapText="1"/>
    </xf>
    <xf numFmtId="165" fontId="16" fillId="0" borderId="7" applyAlignment="1" pivotButton="0" quotePrefix="0" xfId="0">
      <alignment horizontal="center" vertical="top" wrapText="1"/>
    </xf>
    <xf numFmtId="0" fontId="17" fillId="0" borderId="6" applyAlignment="1" pivotButton="0" quotePrefix="0" xfId="22">
      <alignment horizontal="left" vertical="top" wrapText="1"/>
    </xf>
    <xf numFmtId="3" fontId="16" fillId="0" borderId="0" applyAlignment="1" pivotButton="0" quotePrefix="0" xfId="22">
      <alignment horizontal="center" vertical="top" wrapText="1"/>
    </xf>
    <xf numFmtId="3" fontId="16" fillId="0" borderId="0" applyAlignment="1" pivotButton="0" quotePrefix="0" xfId="0">
      <alignment horizontal="center" vertical="top" wrapText="1"/>
    </xf>
    <xf numFmtId="0" fontId="16" fillId="0" borderId="6" applyAlignment="1" pivotButton="0" quotePrefix="0" xfId="22">
      <alignment horizontal="left" vertical="top" wrapText="1" indent="2"/>
    </xf>
    <xf numFmtId="165" fontId="16" fillId="0" borderId="0" applyAlignment="1" pivotButton="0" quotePrefix="0" xfId="22">
      <alignment horizontal="center" vertical="top" wrapText="1"/>
    </xf>
    <xf numFmtId="10" fontId="16" fillId="0" borderId="0" applyAlignment="1" pivotButton="0" quotePrefix="0" xfId="25">
      <alignment horizontal="center" vertical="top" wrapText="1"/>
    </xf>
    <xf numFmtId="10" fontId="16" fillId="0" borderId="0" applyAlignment="1" pivotButton="0" quotePrefix="0" xfId="0">
      <alignment horizontal="center" vertical="top" wrapText="1"/>
    </xf>
    <xf numFmtId="10" fontId="16" fillId="0" borderId="0" applyAlignment="1" pivotButton="0" quotePrefix="0" xfId="22">
      <alignment horizontal="center" vertical="top" wrapText="1"/>
    </xf>
    <xf numFmtId="0" fontId="16" fillId="0" borderId="8" applyAlignment="1" pivotButton="0" quotePrefix="0" xfId="22">
      <alignment horizontal="left" vertical="top" wrapText="1" indent="2"/>
    </xf>
    <xf numFmtId="10" fontId="16" fillId="0" borderId="9" applyAlignment="1" pivotButton="0" quotePrefix="0" xfId="22">
      <alignment horizontal="center" vertical="top" wrapText="1"/>
    </xf>
    <xf numFmtId="10" fontId="16" fillId="0" borderId="9" applyAlignment="1" pivotButton="0" quotePrefix="0" xfId="0">
      <alignment horizontal="center" vertical="top" wrapText="1"/>
    </xf>
    <xf numFmtId="2" fontId="16" fillId="0" borderId="0" applyAlignment="1" pivotButton="0" quotePrefix="0" xfId="22">
      <alignment horizontal="center" vertical="top" wrapText="1"/>
    </xf>
    <xf numFmtId="2" fontId="16" fillId="0" borderId="0" applyAlignment="1" pivotButton="0" quotePrefix="0" xfId="0">
      <alignment horizontal="center" vertical="top" wrapText="1"/>
    </xf>
    <xf numFmtId="0" fontId="16" fillId="8" borderId="0" applyAlignment="1" pivotButton="0" quotePrefix="0" xfId="22">
      <alignment horizontal="general" vertical="bottom"/>
    </xf>
    <xf numFmtId="0" fontId="16" fillId="9" borderId="0" applyAlignment="1" pivotButton="0" quotePrefix="0" xfId="22">
      <alignment horizontal="general" vertical="bottom"/>
    </xf>
    <xf numFmtId="0" fontId="16" fillId="10" borderId="0" applyAlignment="1" pivotButton="0" quotePrefix="0" xfId="22">
      <alignment horizontal="general" vertical="bottom"/>
    </xf>
    <xf numFmtId="0" fontId="12" fillId="11" borderId="1" applyAlignment="1" pivotButton="0" quotePrefix="0" xfId="22">
      <alignment horizontal="left" vertical="top" wrapText="1"/>
    </xf>
    <xf numFmtId="0" fontId="16" fillId="0" borderId="1" applyAlignment="1" pivotButton="0" quotePrefix="0" xfId="22">
      <alignment horizontal="center" vertical="top" wrapText="1"/>
    </xf>
    <xf numFmtId="0" fontId="16" fillId="0" borderId="1" applyAlignment="1" pivotButton="0" quotePrefix="0" xfId="0">
      <alignment horizontal="center" vertical="top" wrapText="1"/>
    </xf>
    <xf numFmtId="0" fontId="17" fillId="11" borderId="1" applyAlignment="1" pivotButton="0" quotePrefix="0" xfId="22">
      <alignment horizontal="left" vertical="top" wrapText="1"/>
    </xf>
    <xf numFmtId="0" fontId="16" fillId="12" borderId="0" applyAlignment="1" pivotButton="0" quotePrefix="0" xfId="22">
      <alignment horizontal="general" vertical="bottom"/>
    </xf>
    <xf numFmtId="0" fontId="16" fillId="13" borderId="0" applyAlignment="1" pivotButton="0" quotePrefix="0" xfId="22">
      <alignment horizontal="general" vertical="bottom"/>
    </xf>
    <xf numFmtId="3" fontId="16" fillId="0" borderId="1" applyAlignment="1" pivotButton="0" quotePrefix="0" xfId="22">
      <alignment horizontal="center" vertical="top" wrapText="1"/>
    </xf>
    <xf numFmtId="3" fontId="16" fillId="0" borderId="1" applyAlignment="1" pivotButton="0" quotePrefix="0" xfId="0">
      <alignment horizontal="center" vertical="top" wrapText="1"/>
    </xf>
    <xf numFmtId="0" fontId="16" fillId="14" borderId="0" applyAlignment="1" pivotButton="0" quotePrefix="0" xfId="22">
      <alignment horizontal="general" vertical="bottom"/>
    </xf>
    <xf numFmtId="0" fontId="18" fillId="3" borderId="1" applyAlignment="1" pivotButton="0" quotePrefix="0" xfId="22">
      <alignment horizontal="left" vertical="top" wrapText="1"/>
    </xf>
    <xf numFmtId="0" fontId="16" fillId="8" borderId="1" applyAlignment="1" pivotButton="0" quotePrefix="0" xfId="22">
      <alignment horizontal="left" vertical="top" wrapText="1" indent="2"/>
    </xf>
    <xf numFmtId="0" fontId="16" fillId="8" borderId="1" applyAlignment="1" pivotButton="0" quotePrefix="0" xfId="22">
      <alignment horizontal="center" vertical="top" wrapText="1"/>
    </xf>
    <xf numFmtId="0" fontId="16" fillId="8" borderId="1" applyAlignment="1" pivotButton="0" quotePrefix="0" xfId="0">
      <alignment horizontal="center" vertical="top" wrapText="1"/>
    </xf>
    <xf numFmtId="0" fontId="16" fillId="9" borderId="1" applyAlignment="1" pivotButton="0" quotePrefix="0" xfId="22">
      <alignment horizontal="left" vertical="top" wrapText="1" indent="2"/>
    </xf>
    <xf numFmtId="0" fontId="16" fillId="9" borderId="1" applyAlignment="1" pivotButton="0" quotePrefix="0" xfId="22">
      <alignment horizontal="center" vertical="top" wrapText="1"/>
    </xf>
    <xf numFmtId="0" fontId="16" fillId="9" borderId="1" applyAlignment="1" pivotButton="0" quotePrefix="0" xfId="0">
      <alignment horizontal="center" vertical="top" wrapText="1"/>
    </xf>
    <xf numFmtId="0" fontId="16" fillId="10" borderId="1" applyAlignment="1" pivotButton="0" quotePrefix="0" xfId="22">
      <alignment horizontal="left" vertical="top" wrapText="1" indent="2"/>
    </xf>
    <xf numFmtId="0" fontId="16" fillId="10" borderId="1" applyAlignment="1" pivotButton="0" quotePrefix="0" xfId="22">
      <alignment horizontal="center" vertical="top" wrapText="1"/>
    </xf>
    <xf numFmtId="0" fontId="16" fillId="10" borderId="1" applyAlignment="1" pivotButton="0" quotePrefix="0" xfId="0">
      <alignment horizontal="center" vertical="top" wrapText="1"/>
    </xf>
    <xf numFmtId="0" fontId="16" fillId="11" borderId="1" applyAlignment="1" pivotButton="0" quotePrefix="0" xfId="22">
      <alignment horizontal="left" vertical="top" wrapText="1" indent="2"/>
    </xf>
    <xf numFmtId="0" fontId="16" fillId="12" borderId="1" applyAlignment="1" pivotButton="0" quotePrefix="0" xfId="22">
      <alignment horizontal="left" vertical="top" wrapText="1" indent="2"/>
    </xf>
    <xf numFmtId="0" fontId="16" fillId="12" borderId="1" applyAlignment="1" pivotButton="0" quotePrefix="0" xfId="22">
      <alignment horizontal="center" vertical="top" wrapText="1"/>
    </xf>
    <xf numFmtId="0" fontId="16" fillId="12" borderId="1" applyAlignment="1" pivotButton="0" quotePrefix="0" xfId="0">
      <alignment horizontal="center" vertical="top" wrapText="1"/>
    </xf>
    <xf numFmtId="0" fontId="16" fillId="13" borderId="1" applyAlignment="1" pivotButton="0" quotePrefix="0" xfId="22">
      <alignment horizontal="left" vertical="top" wrapText="1" indent="2"/>
    </xf>
    <xf numFmtId="0" fontId="16" fillId="13" borderId="1" applyAlignment="1" pivotButton="0" quotePrefix="0" xfId="22">
      <alignment horizontal="center" vertical="top" wrapText="1"/>
    </xf>
    <xf numFmtId="0" fontId="16" fillId="13" borderId="1" applyAlignment="1" pivotButton="0" quotePrefix="0" xfId="0">
      <alignment horizontal="center" vertical="top" wrapText="1"/>
    </xf>
    <xf numFmtId="0" fontId="16" fillId="14" borderId="1" applyAlignment="1" pivotButton="0" quotePrefix="0" xfId="22">
      <alignment horizontal="left" vertical="top" wrapText="1" indent="2"/>
    </xf>
    <xf numFmtId="0" fontId="16" fillId="14" borderId="1" applyAlignment="1" pivotButton="0" quotePrefix="0" xfId="22">
      <alignment horizontal="center" vertical="top" wrapText="1"/>
    </xf>
    <xf numFmtId="0" fontId="16" fillId="14" borderId="1" applyAlignment="1" pivotButton="0" quotePrefix="0" xfId="0">
      <alignment horizontal="center" vertical="top" wrapText="1"/>
    </xf>
    <xf numFmtId="0" fontId="16" fillId="0" borderId="10" applyAlignment="1" pivotButton="0" quotePrefix="0" xfId="22">
      <alignment horizontal="left" vertical="top" wrapText="1"/>
    </xf>
    <xf numFmtId="0" fontId="19" fillId="0" borderId="0" applyAlignment="1" pivotButton="0" quotePrefix="0" xfId="22">
      <alignment horizontal="center" vertical="top"/>
    </xf>
    <xf numFmtId="0" fontId="10" fillId="3" borderId="1" applyAlignment="1" pivotButton="0" quotePrefix="0" xfId="22">
      <alignment horizontal="center" vertical="center" wrapText="1"/>
    </xf>
    <xf numFmtId="164" fontId="16" fillId="0" borderId="6" applyAlignment="1" pivotButton="0" quotePrefix="0" xfId="22">
      <alignment horizontal="center" vertical="top" wrapText="1"/>
    </xf>
    <xf numFmtId="0" fontId="12" fillId="0" borderId="10" applyAlignment="1" pivotButton="0" quotePrefix="0" xfId="22">
      <alignment horizontal="left" vertical="top" wrapText="1"/>
    </xf>
    <xf numFmtId="165" fontId="16" fillId="7" borderId="10" applyAlignment="1" pivotButton="0" quotePrefix="0" xfId="20">
      <alignment horizontal="left" vertical="top" wrapText="1"/>
    </xf>
    <xf numFmtId="165" fontId="16" fillId="0" borderId="6" applyAlignment="1" pivotButton="0" quotePrefix="0" xfId="20">
      <alignment horizontal="center" vertical="top" wrapText="1"/>
    </xf>
    <xf numFmtId="165" fontId="16" fillId="7" borderId="10" applyAlignment="1" pivotButton="0" quotePrefix="0" xfId="20">
      <alignment horizontal="left" vertical="top" wrapText="1" indent="2"/>
    </xf>
    <xf numFmtId="165" fontId="16" fillId="0" borderId="11" applyAlignment="1" pivotButton="0" quotePrefix="0" xfId="20">
      <alignment horizontal="center" vertical="top" wrapText="1"/>
    </xf>
    <xf numFmtId="165" fontId="16" fillId="0" borderId="10" applyAlignment="1" pivotButton="0" quotePrefix="0" xfId="15">
      <alignment horizontal="left" vertical="top" wrapText="1"/>
    </xf>
    <xf numFmtId="0" fontId="17" fillId="0" borderId="10" applyAlignment="1" pivotButton="0" quotePrefix="0" xfId="22">
      <alignment horizontal="left" vertical="top" wrapText="1"/>
    </xf>
    <xf numFmtId="0" fontId="16" fillId="0" borderId="10" applyAlignment="1" pivotButton="0" quotePrefix="0" xfId="22">
      <alignment horizontal="left" vertical="top" wrapText="1" indent="2"/>
    </xf>
    <xf numFmtId="10" fontId="16" fillId="0" borderId="6" applyAlignment="1" pivotButton="0" quotePrefix="0" xfId="25">
      <alignment horizontal="center" vertical="top" wrapText="1"/>
    </xf>
    <xf numFmtId="10" fontId="16" fillId="0" borderId="8" applyAlignment="1" pivotButton="0" quotePrefix="0" xfId="22">
      <alignment horizontal="center" vertical="top" wrapText="1"/>
    </xf>
    <xf numFmtId="10" fontId="16" fillId="0" borderId="6" applyAlignment="1" pivotButton="0" quotePrefix="0" xfId="22">
      <alignment horizontal="center" vertical="top" wrapText="1"/>
    </xf>
    <xf numFmtId="0" fontId="16" fillId="0" borderId="6" applyAlignment="1" pivotButton="0" quotePrefix="0" xfId="22">
      <alignment horizontal="center" vertical="top" wrapText="1"/>
    </xf>
    <xf numFmtId="2" fontId="16" fillId="0" borderId="6" applyAlignment="1" pivotButton="0" quotePrefix="0" xfId="22">
      <alignment horizontal="center" vertical="top" wrapText="1"/>
    </xf>
    <xf numFmtId="0" fontId="12" fillId="0" borderId="1" applyAlignment="1" pivotButton="0" quotePrefix="0" xfId="22">
      <alignment horizontal="left" vertical="top" wrapText="1"/>
    </xf>
    <xf numFmtId="0" fontId="17" fillId="0" borderId="1" applyAlignment="1" pivotButton="0" quotePrefix="0" xfId="22">
      <alignment horizontal="left" vertical="top" wrapText="1"/>
    </xf>
    <xf numFmtId="0" fontId="18" fillId="0" borderId="1" applyAlignment="1" pivotButton="0" quotePrefix="0" xfId="22">
      <alignment horizontal="left" vertical="top" wrapText="1"/>
    </xf>
    <xf numFmtId="0" fontId="16" fillId="0" borderId="1" applyAlignment="1" pivotButton="0" quotePrefix="0" xfId="22">
      <alignment horizontal="left" vertical="top" wrapText="1" indent="2"/>
    </xf>
    <xf numFmtId="0" fontId="23" fillId="0" borderId="0" pivotButton="0" quotePrefix="0" xfId="0"/>
    <xf numFmtId="0" fontId="24" fillId="0" borderId="0" pivotButton="0" quotePrefix="0" xfId="0"/>
    <xf numFmtId="0" fontId="25" fillId="16" borderId="14" applyAlignment="1" pivotButton="0" quotePrefix="0" xfId="0">
      <alignment horizontal="center" vertical="center" wrapText="1"/>
    </xf>
  </cellXfs>
  <cellStyles count="14">
    <cellStyle name="Normal" xfId="0" builtinId="0"/>
    <cellStyle name="Comma" xfId="1" builtinId="3"/>
    <cellStyle name="Comma [0]" xfId="2" builtinId="6"/>
    <cellStyle name="Currency" xfId="3" builtinId="4"/>
    <cellStyle name="Currency [0]" xfId="4" builtinId="7"/>
    <cellStyle name="Percent" xfId="5" builtinId="5"/>
    <cellStyle name="Comma 2" xfId="6"/>
    <cellStyle name="Normal 12" xfId="7"/>
    <cellStyle name="Normal 2" xfId="8"/>
    <cellStyle name="Normal 2 2" xfId="9"/>
    <cellStyle name="Normal 3" xfId="10"/>
    <cellStyle name="Percent 2" xfId="11"/>
    <cellStyle name="Percent 2 2" xfId="12"/>
    <cellStyle name="pli" xfId="13"/>
  </cellStyles>
  <dxfs count="5">
    <dxf>
      <fill>
        <patternFill patternType="solid">
          <fgColor rgb="FF000000"/>
          <bgColor rgb="FF000000"/>
        </patternFill>
      </fill>
    </dxf>
    <dxf>
      <fill>
        <patternFill patternType="solid">
          <fgColor rgb="FF86BC25"/>
          <bgColor rgb="FF000000"/>
        </patternFill>
      </fill>
    </dxf>
    <dxf>
      <fill>
        <patternFill patternType="solid">
          <fgColor rgb="FFFFFFFF"/>
          <bgColor rgb="FF000000"/>
        </patternFill>
      </fill>
    </dxf>
    <dxf>
      <fill>
        <patternFill patternType="solid">
          <bgColor rgb="FF000000"/>
        </patternFill>
      </fill>
    </dxf>
    <dxf>
      <fill>
        <patternFill patternType="solid">
          <fgColor rgb="FF92D05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67171"/>
      <rgbColor rgb="FF9999FF"/>
      <rgbColor rgb="FF993366"/>
      <rgbColor rgb="FFFFFFCC"/>
      <rgbColor rgb="FFDEEBF7"/>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2D050"/>
      <rgbColor rgb="FFFF99CC"/>
      <rgbColor rgb="FFCC99FF"/>
      <rgbColor rgb="FFFFD966"/>
      <rgbColor rgb="FF3366FF"/>
      <rgbColor rgb="FF33CCCC"/>
      <rgbColor rgb="FF86BC25"/>
      <rgbColor rgb="FFFFCC00"/>
      <rgbColor rgb="FFFF9900"/>
      <rgbColor rgb="FFFF6600"/>
      <rgbColor rgb="FF666699"/>
      <rgbColor rgb="FFC0C073"/>
      <rgbColor rgb="FF003366"/>
      <rgbColor rgb="FF00B050"/>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Administrator</author>
    <author>Nagaratnam, Pavitra</author>
  </authors>
  <commentList>
    <comment ref="T5" authorId="0" shapeId="0">
      <text>
        <t>Administrator:
1.This column will NOT be part of the final financial analysis to be appended to report. Please hide or adjust print area before converting into PDF.
2. This column is for Staff to highlight any specific item to Reviewer
3. This column is for Reviewer to provide review comments to Staff</t>
      </text>
    </comment>
    <comment ref="U5" authorId="1" shapeId="0">
      <text>
        <t>Nagaratnam, Pavitra:
Did for 2022</t>
      </text>
    </comment>
  </commentList>
</comments>
</file>

<file path=xl/comments/comment2.xml><?xml version="1.0" encoding="utf-8"?>
<comments xmlns="http://schemas.openxmlformats.org/spreadsheetml/2006/main">
  <authors>
    <author>AI Extraction</author>
  </authors>
  <commentList>
    <comment ref="D6" authorId="0" shapeId="0">
      <text>
        <t>Confidence: High (1.00)
Source: extracted, Page 12
From the Statement of Comprehensive Income header for the current financial year.</t>
      </text>
    </comment>
    <comment ref="B10" authorId="0" shapeId="0">
      <text>
        <t>Confidence: High (0.90)
Source: not_found
No verifiable data for FY2024.</t>
      </text>
    </comment>
    <comment ref="C10" authorId="0" shapeId="0">
      <text>
        <t>Confidence: High (1.00)
Source: not_found
No FY2024 statement provided for target entity.</t>
      </text>
    </comment>
    <comment ref="D10" authorId="0" shapeId="0">
      <text>
        <t>Confidence: High (1.00)
Source: extracted, Page 13
Extracted from the Revenue line on the Statement of Comprehensive Income.</t>
      </text>
    </comment>
    <comment ref="B11" authorId="0" shapeId="0">
      <text>
        <t>Confidence: High (0.90)
Source: not_found
No verifiable data for FY2024.</t>
      </text>
    </comment>
    <comment ref="C11" authorId="0" shapeId="0">
      <text>
        <t>Confidence: High (1.00)
Source: not_found
No FY2024 statement provided for target entity.</t>
      </text>
    </comment>
    <comment ref="D11" authorId="0" shapeId="0">
      <text>
        <t>Confidence: High (1.00)
Source: extracted, Page 13
Extracted from the 'Operation cost' line on the Statement of Comprehensive Income.</t>
      </text>
    </comment>
    <comment ref="D14" authorId="0" shapeId="0">
      <text>
        <t>Confidence: High (0.95)
Source: calculated
Calculated: 'Other operating expenses' (1,221,179) - depreciation_amortization (234,962) - foreign_exchange_loss_operating (0).</t>
      </text>
    </comment>
    <comment ref="D15" authorId="0" shapeId="0">
      <text>
        <t>Confidence: High (1.00)
Source: calculated
Sum of Amortization of leasehold property (22,857) and Depreciation of PPE (212,105) from Note 19.</t>
      </text>
    </comment>
    <comment ref="D16" authorId="0" shapeId="0">
      <text>
        <t>Confidence: High (1.00)
Source: extracted, Page 32
Disclosed as nil/dash under Note 19 'After charging'.</t>
      </text>
    </comment>
    <comment ref="D17" authorId="0" shapeId="0">
      <text>
        <t>Confidence: High (0.95)
Source: not_found
No loss on disposal of PPE reported for 2024.</t>
      </text>
    </comment>
    <comment ref="D18" authorId="0" shapeId="0">
      <text>
        <t>Confidence: High (0.90)
Source: calculated
Residual is zero as the entire 'Other operating expenses' container was used for SGA calculation (excluding components).</t>
      </text>
    </comment>
    <comment ref="D20" authorId="0" shapeId="0">
      <text>
        <t>Confidence: High (1.00)
Source: extracted, Page 32
Extracted from 'Gain on foreign exchange' in Note 19.</t>
      </text>
    </comment>
    <comment ref="D21" authorId="0" shapeId="0">
      <text>
        <t>Confidence: High (1.00)
Source: extracted, Page 32
Disclosed as nil/dash under Note 19 'After crediting'.</t>
      </text>
    </comment>
    <comment ref="D22" authorId="0" shapeId="0">
      <text>
        <t>Confidence: High (0.95)
Source: calculated
Calculated: Total 'Other operating income' (5,341) - foreign_exchange_gain_operating (3,769) - interest_income (1,572) = 0.</t>
      </text>
    </comment>
    <comment ref="D27" authorId="0" shapeId="0">
      <text>
        <t>Confidence: High (0.95)
Source: calculated
Sum of interest components in Note 18 (13,541 + 91,007 + 6,125) as explicitly requested by feedback, despite differing from the main Income Statement amount (97,132).</t>
      </text>
    </comment>
    <comment ref="D28" authorId="0" shapeId="0">
      <text>
        <t>Confidence: High (0.90)
Source: not_found
No other non-operating expenses found.</t>
      </text>
    </comment>
    <comment ref="D32" authorId="0" shapeId="0">
      <text>
        <t>Confidence: High (1.00)
Source: extracted, Page 32
Extracted from 'Interest income' in Note 19.</t>
      </text>
    </comment>
    <comment ref="D33" authorId="0" shapeId="0">
      <text>
        <t>Confidence: High (0.90)
Source: not_found
No other non-operating income found.</t>
      </text>
    </comment>
    <comment ref="B38" authorId="0" shapeId="0">
      <text>
        <t>Confidence: High (0.90)
Source: not_found
No verifiable data for FY2024.</t>
      </text>
    </comment>
    <comment ref="C38" authorId="0" shapeId="0">
      <text>
        <t>Confidence: High (1.00)
Source: not_found
No FY2024 statement provided for target entity.</t>
      </text>
    </comment>
    <comment ref="D38" authorId="0" shapeId="0">
      <text>
        <t>Confidence: High (1.00)
Source: extracted, Page 12
Total Current Assets from the Balance Sheet.</t>
      </text>
    </comment>
    <comment ref="D39" authorId="0" shapeId="0">
      <text>
        <t>Confidence: High (1.00)
Source: calculated
Sum of Cash at bank (153,020) and Cash in hand (7,867). Fixed deposit is nil for 2024 as shown on BS and clarified by Cash Flow analysis.</t>
      </text>
    </comment>
    <comment ref="D40" authorId="0" shapeId="0">
      <text>
        <t>Confidence: High (1.00)
Source: extracted, Page 12
Trade receivables from the Balance Sheet.</t>
      </text>
    </comment>
    <comment ref="D41" authorId="0" shapeId="0">
      <text>
        <t>Confidence: High (1.00)
Source: extracted, Page 12
Inventories from the Balance Sheet.</t>
      </text>
    </comment>
    <comment ref="D42" authorId="0" shapeId="0">
      <text>
        <t>Confidence: High (1.00)
Source: calculated
Sum of Other receivables, deposits and prepayments (145,052) and Current tax asset (179,325).</t>
      </text>
    </comment>
    <comment ref="D44" authorId="0" shapeId="0">
      <text>
        <t>Confidence: High (1.00)
Source: extracted, Page 12
Property, plant and equipment from the Balance Sheet.</t>
      </text>
    </comment>
    <comment ref="D45" authorId="0" shapeId="0">
      <text>
        <t>Confidence: High (1.00)
Source: not_found
No intangible assets reported.</t>
      </text>
    </comment>
    <comment ref="D46" authorId="0" shapeId="0">
      <text>
        <t>Confidence: High (1.00)
Source: not_found
No investments reported.</t>
      </text>
    </comment>
    <comment ref="B51" authorId="0" shapeId="0">
      <text>
        <t>Confidence: High (0.90)
Source: not_found
No verifiable data for FY2024.</t>
      </text>
    </comment>
    <comment ref="C51" authorId="0" shapeId="0">
      <text>
        <t>Confidence: High (1.00)
Source: not_found
No FY2024 statement provided for target entity.</t>
      </text>
    </comment>
    <comment ref="D51" authorId="0" shapeId="0">
      <text>
        <t>Confidence: High (1.00)
Source: extracted, Page 12
Total Current Liabilities from the Balance Sheet.</t>
      </text>
    </comment>
    <comment ref="D52" authorId="0" shapeId="0">
      <text>
        <t>Confidence: High (1.00)
Source: extracted, Page 12
Trade payables from the Balance Sheet.</t>
      </text>
    </comment>
    <comment ref="D53" authorId="0" shapeId="0">
      <text>
        <t>Confidence: High (1.00)
Source: calculated
Total Current Liabilities (2,620,947) - Trade payables (1,391,783).</t>
      </text>
    </comment>
    <comment ref="D55" authorId="0" shapeId="0">
      <text>
        <t>Confidence: High (1.00)
Source: calculated
Sum of non-current Term loans (1,838,993) and Hire purchase loans (94,553).</t>
      </text>
    </comment>
    <comment ref="D56" authorId="0" shapeId="0">
      <text>
        <t>Confidence: High (1.00)
Source: extracted, Page 12
Deferred taxation from the Balance Sheet.</t>
      </text>
    </comment>
    <comment ref="D57" authorId="0" shapeId="0">
      <text>
        <t>Confidence: High (1.00)
Source: extracted, Page 12
Total equity from the Balance Sheet.</t>
      </text>
    </comment>
    <comment ref="D58" authorId="0" shapeId="0">
      <text>
        <t>Confidence: High (1.00)
Source: extracted, Page 12
Share capital from the Balance Sheet.</t>
      </text>
    </comment>
    <comment ref="D59" authorId="0" shapeId="0">
      <text>
        <t>Confidence: High (1.00)
Source: extracted, Page 12
Retained earnings from the Balance Sheet.</t>
      </text>
    </comment>
  </commentList>
</comments>
</file>

<file path=xl/comments/comment3.xml><?xml version="1.0" encoding="utf-8"?>
<comments xmlns="http://schemas.openxmlformats.org/spreadsheetml/2006/main">
  <authors>
    <author>AI Extraction</author>
  </authors>
  <commentList>
    <comment ref="B6" authorId="0" shapeId="0">
      <text>
        <t>Confidence: High (1.00)
Source: extracted, Page 13
Statement of Profit or Loss header</t>
      </text>
    </comment>
    <comment ref="C6" authorId="0" shapeId="0">
      <text>
        <t>Confidence: High (1.00)
Source: extracted, Page 10
Extracted from Statement of Comprehensive Income header</t>
      </text>
    </comment>
    <comment ref="D6" authorId="0" shapeId="0">
      <text>
        <t>Confidence: High (1.00)
Source: extracted, Page 12
From the Statement of Comprehensive Income header for the 2023 financial year.</t>
      </text>
    </comment>
    <comment ref="B10" authorId="0" shapeId="0">
      <text>
        <t>Confidence: High (1.00)
Source: extracted, Page 13
Revenue line from Statement of Profit or Loss</t>
      </text>
    </comment>
    <comment ref="C10" authorId="0" shapeId="0">
      <text>
        <t>Confidence: High (1.00)
Source: extracted, Page 10
Revenue line item on Statement of Comprehensive Income</t>
      </text>
    </comment>
    <comment ref="D10" authorId="0" shapeId="0">
      <text>
        <t>Confidence: High (1.00)
Source: extracted, Page 13
Extracted from the Revenue line on the Statement of Comprehensive Income.</t>
      </text>
    </comment>
    <comment ref="B11" authorId="0" shapeId="0">
      <text>
        <t>Confidence: High (1.00)
Source: extracted, Page 13
Cost of sales line from Statement of Profit or Loss</t>
      </text>
    </comment>
    <comment ref="C11" authorId="0" shapeId="0">
      <text>
        <t>Confidence: High (1.00)
Source: extracted, Page 10
Cost of sales line item on Statement of Comprehensive Income</t>
      </text>
    </comment>
    <comment ref="D11" authorId="0" shapeId="0">
      <text>
        <t>Confidence: High (1.00)
Source: extracted, Page 13
Extracted from the 'Operation cost' line on the Statement of Comprehensive Income.</t>
      </text>
    </comment>
    <comment ref="B14" authorId="0" shapeId="0">
      <text>
        <t>Confidence: High (0.90)
Source: calculated
Calculated as Administrative expenses (21,180,315) - Total Depreciation (5,606,582) - Realised FX Loss (59,098) + Unrealised FX Gain credit (159,493) + Rebate reversal credit (110,865) + Impairment reversal credit (14,534) to clean the base of credits that were reclassified to other operating income per instructions.</t>
      </text>
    </comment>
    <comment ref="C14" authorId="0" shapeId="0">
      <text>
        <t>Confidence: High (0.95)
Source: calculated
calculator('(1518221 + 178130) - 287118 - 0') where 1518221 is Admin, 178130 is Selling, and 287118 is total depreciation from Note 19.</t>
      </text>
    </comment>
    <comment ref="D14" authorId="0" shapeId="0">
      <text>
        <t>Confidence: High (0.95)
Source: calculated
Calculated: 'Other operating expenses' (1,029,621) - depreciation_amortization (249,937) - foreign_exchange_loss_operating (2,482).</t>
      </text>
    </comment>
    <comment ref="B15" authorId="0" shapeId="0">
      <text>
        <t>Confidence: High (1.00)
Source: extracted, Page 48
Depreciation of property, plant and equipment from Profit Before Tax note (Note 21).</t>
      </text>
    </comment>
    <comment ref="C15" authorId="0" shapeId="0">
      <text>
        <t>Confidence: High (1.00)
Source: extracted, Page 29
Depreciation from Note 19 Profit Before Tax breakdown</t>
      </text>
    </comment>
    <comment ref="D15" authorId="0" shapeId="0">
      <text>
        <t>Confidence: High (1.00)
Source: calculated
Sum of Amortization of leasehold property (22,857) and Depreciation of PPE (227,080) from Note 19.</t>
      </text>
    </comment>
    <comment ref="B16" authorId="0" shapeId="0">
      <text>
        <t>Confidence: High (1.00)
Source: extracted, Page 48
Realised foreign exchange loss from Note 21.</t>
      </text>
    </comment>
    <comment ref="C16" authorId="0" shapeId="0">
      <text>
        <t>Confidence: High (0.90)
Source: not_found
Note 19 shows only foreign exchange gains for 2023.</t>
      </text>
    </comment>
    <comment ref="D16" authorId="0" shapeId="0">
      <text>
        <t>Confidence: High (1.00)
Source: extracted, Page 33
Extracted from 'Loss on foreign exchange' in Note 19.</t>
      </text>
    </comment>
    <comment ref="B17" authorId="0" shapeId="0">
      <text>
        <t>Confidence: High (1.00)
Source: not_found
No disposal loss reported in Note 21 or Note 5.</t>
      </text>
    </comment>
    <comment ref="C17" authorId="0" shapeId="0">
      <text>
        <t>Confidence: High (0.90)
Source: not_found
No disposal loss reported in Note 19 or Other Income breakdown.</t>
      </text>
    </comment>
    <comment ref="D17" authorId="0" shapeId="0">
      <text>
        <t>Confidence: High (0.95)
Source: not_found
A gain on disposal was reported instead.</t>
      </text>
    </comment>
    <comment ref="B18" authorId="0" shapeId="0">
      <text>
        <t>Confidence: High (1.00)
Source: extracted, Page 13
Net change in impairment losses on financial assets line from IS.</t>
      </text>
    </comment>
    <comment ref="C18" authorId="0" shapeId="0">
      <text>
        <t>Confidence: High (0.90)
Source: extracted, Page 10
Residual operating expenses from Statement of Comprehensive Income line 'Other operating expenses'</t>
      </text>
    </comment>
    <comment ref="D18" authorId="0" shapeId="0">
      <text>
        <t>Confidence: High (0.90)
Source: calculated
Residual is zero as the entire container was allocated to SGA.</t>
      </text>
    </comment>
    <comment ref="B20" authorId="0" shapeId="0">
      <text>
        <t>Confidence: High (1.00)
Source: extracted, Page 48
Unrealised foreign exchange gain from Note 21.</t>
      </text>
    </comment>
    <comment ref="C20" authorId="0" shapeId="0">
      <text>
        <t>Confidence: High (0.95)
Source: calculated
Sum of realised gain (5,286) and unrealised gain (3,887) from Note 17 Other Income breakdown.</t>
      </text>
    </comment>
    <comment ref="D20" authorId="0" shapeId="0">
      <text>
        <t>Confidence: High (1.00)
Source: extracted, Page 33
Disclosed as nil/dash under Note 19 'After crediting'.</t>
      </text>
    </comment>
    <comment ref="B21" authorId="0" shapeId="0">
      <text>
        <t>Confidence: High (1.00)
Source: not_found
No disposal gain reported.</t>
      </text>
    </comment>
    <comment ref="C21" authorId="0" shapeId="0">
      <text>
        <t>Confidence: High (0.90)
Source: not_found
Not found in Note 17 breakdown for 2023.</t>
      </text>
    </comment>
    <comment ref="D21" authorId="0" shapeId="0">
      <text>
        <t>Confidence: High (1.00)
Source: extracted, Page 33
Extracted from 'Gain on disposal of property, plant and equipment' in Note 19.</t>
      </text>
    </comment>
    <comment ref="B22" authorId="0" shapeId="0">
      <text>
        <t>Confidence: High (0.95)
Source: calculated
Calculated as Other income from Note 19 (80,324) + Reversal for rebates credit (110,865) + Reversal for impairment loss credit (14,534) from Note 21. These operating credits are recognized here to maintain reconciliation after adding them back to SGA.</t>
      </text>
    </comment>
    <comment ref="C22" authorId="0" shapeId="0">
      <text>
        <t>Confidence: High (0.95)
Source: calculated
calculator('311560 - 9173 - 0 - 58044') where 311560 is total Other Income, 9173 is FX gain, and 58044 is interest income from Note 17.</t>
      </text>
    </comment>
    <comment ref="D22" authorId="0" shapeId="0">
      <text>
        <t>Confidence: High (0.95)
Source: calculated
Calculated: Total 'Other operating income' (30,579) - gain_on_disposal (27,720) - interest_income (2,859) = 0.</t>
      </text>
    </comment>
    <comment ref="B25" authorId="0" shapeId="0">
      <text>
        <t>Confidence: High (1.00)
Source: not_found
All FX is operating.</t>
      </text>
    </comment>
    <comment ref="C25" authorId="0" shapeId="0">
      <text>
        <t>Confidence: High (0.90)
Source: not_found
No FX losses identified below operating profit.</t>
      </text>
    </comment>
    <comment ref="B26" authorId="0" shapeId="0">
      <text>
        <t>Confidence: High (1.00)
Source: not_found
No non-operating disposals found.</t>
      </text>
    </comment>
    <comment ref="C26" authorId="0" shapeId="0">
      <text>
        <t>Confidence: High (0.90)
Source: not_found
No disposal loss identified below operating profit.</t>
      </text>
    </comment>
    <comment ref="B27" authorId="0" shapeId="0">
      <text>
        <t>Confidence: High (1.00)
Source: extracted, Page 13
Finance costs line from IS.</t>
      </text>
    </comment>
    <comment ref="C27" authorId="0" shapeId="0">
      <text>
        <t>Confidence: High (1.00)
Source: extracted, Page 10
Finance costs from Statement of Comprehensive Income</t>
      </text>
    </comment>
    <comment ref="D27" authorId="0" shapeId="0">
      <text>
        <t>Confidence: High (1.00)
Source: extracted, Page 13
Finance cost from the Statement of Comprehensive Income.</t>
      </text>
    </comment>
    <comment ref="B28" authorId="0" shapeId="0">
      <text>
        <t>Confidence: High (0.90)
Source: not_found
No other non-operating expenses found.</t>
      </text>
    </comment>
    <comment ref="C28" authorId="0" shapeId="0">
      <text>
        <t>Confidence: High (0.80)
Source: not_found
No other non-operating expenses identified.</t>
      </text>
    </comment>
    <comment ref="D28" authorId="0" shapeId="0">
      <text>
        <t>Confidence: High (0.90)
Source: not_found
No other non-operating expenses found.</t>
      </text>
    </comment>
    <comment ref="B30" authorId="0" shapeId="0">
      <text>
        <t>Confidence: High (1.00)
Source: not_found
All FX is operating.</t>
      </text>
    </comment>
    <comment ref="C30" authorId="0" shapeId="0">
      <text>
        <t>Confidence: High (0.90)
Source: not_found
No FX gains identified below operating profit.</t>
      </text>
    </comment>
    <comment ref="B31" authorId="0" shapeId="0">
      <text>
        <t>Confidence: High (1.00)
Source: not_found
No non-operating disposals found.</t>
      </text>
    </comment>
    <comment ref="C31" authorId="0" shapeId="0">
      <text>
        <t>Confidence: High (0.90)
Source: not_found
No disposal gains identified below operating profit.</t>
      </text>
    </comment>
    <comment ref="B32" authorId="0" shapeId="0">
      <text>
        <t>Confidence: High (1.00)
Source: extracted, Page 48
Total interest income components from Note 19.</t>
      </text>
    </comment>
    <comment ref="C32" authorId="0" shapeId="0">
      <text>
        <t>Confidence: High (1.00)
Source: extracted, Page 28
Interest income from Note 17 Other Income breakdown</t>
      </text>
    </comment>
    <comment ref="D32" authorId="0" shapeId="0">
      <text>
        <t>Confidence: High (1.00)
Source: extracted, Page 33
Extracted from 'Interest income' in Note 19.</t>
      </text>
    </comment>
    <comment ref="B33" authorId="0" shapeId="0">
      <text>
        <t>Confidence: High (0.90)
Source: not_found
No non-operating financial income found.</t>
      </text>
    </comment>
    <comment ref="C33" authorId="0" shapeId="0">
      <text>
        <t>Confidence: High (0.80)
Source: not_found
No other clearly non-operating/financial income identified.</t>
      </text>
    </comment>
    <comment ref="D33" authorId="0" shapeId="0">
      <text>
        <t>Confidence: High (0.90)
Source: not_found
No other non-operating income found.</t>
      </text>
    </comment>
    <comment ref="B38" authorId="0" shapeId="0">
      <text>
        <t>Confidence: High (1.00)
Source: extracted, Page 12
Total current assets from Statement of Financial Position</t>
      </text>
    </comment>
    <comment ref="C38" authorId="0" shapeId="0">
      <text>
        <t>Confidence: High (1.00)
Source: extracted, Page 8
Total Current Assets from Statement of Financial Position</t>
      </text>
    </comment>
    <comment ref="D38" authorId="0" shapeId="0">
      <text>
        <t>Confidence: High (1.00)
Source: extracted, Page 12
Total Current Assets from the Balance Sheet.</t>
      </text>
    </comment>
    <comment ref="B39" authorId="0" shapeId="0">
      <text>
        <t>Confidence: High (1.00)
Source: extracted, Page 12
Cash and bank balances from Statement of Financial Position</t>
      </text>
    </comment>
    <comment ref="C39" authorId="0" shapeId="0">
      <text>
        <t>Confidence: High (1.00)
Source: extracted, Page 8
Cash and cash equivalents from Statement of Financial Position</t>
      </text>
    </comment>
    <comment ref="D39" authorId="0" shapeId="0">
      <text>
        <t>Confidence: High (1.00)
Source: calculated
Sum of Fixed deposit (103,225), Cash at bank (256,822), and Cash in hand (5,056). Presence of fixed deposit in 2023 is confirmed by Note 22 and BS columns.</t>
      </text>
    </comment>
    <comment ref="B40" authorId="0" shapeId="0">
      <text>
        <t>Confidence: High (1.00)
Source: extracted, Page 12
Trade receivables from Statement of Financial Position</t>
      </text>
    </comment>
    <comment ref="C40" authorId="0" shapeId="0">
      <text>
        <t>Confidence: High (1.00)
Source: extracted, Page 8
Trade and other receivables from Statement of Financial Position</t>
      </text>
    </comment>
    <comment ref="D40" authorId="0" shapeId="0">
      <text>
        <t>Confidence: High (1.00)
Source: extracted, Page 12
Trade receivables from the Balance Sheet.</t>
      </text>
    </comment>
    <comment ref="B41" authorId="0" shapeId="0">
      <text>
        <t>Confidence: High (1.00)
Source: extracted, Page 12
Inventories from Statement of Financial Position</t>
      </text>
    </comment>
    <comment ref="C41" authorId="0" shapeId="0">
      <text>
        <t>Confidence: High (1.00)
Source: extracted, Page 8
Inventories from Statement of Financial Position</t>
      </text>
    </comment>
    <comment ref="D41" authorId="0" shapeId="0">
      <text>
        <t>Confidence: High (1.00)
Source: extracted, Page 12
Inventories from the Balance Sheet.</t>
      </text>
    </comment>
    <comment ref="B42" authorId="0" shapeId="0">
      <text>
        <t>Confidence: High (1.00)
Source: calculated
Calculated as Total current assets (190,573,638) - Cash (14,605,109) - Receivables (24,044,637) - Inventory (15,729,182).</t>
      </text>
    </comment>
    <comment ref="C42" authorId="0" shapeId="0">
      <text>
        <t>Confidence: High (1.00)
Source: extracted, Page 8
Current tax assets from Statement of Financial Position</t>
      </text>
    </comment>
    <comment ref="D42" authorId="0" shapeId="0">
      <text>
        <t>Confidence: High (1.00)
Source: calculated
Sum of Other receivables, deposits and prepayments (130,436) and Current tax asset (158,703).</t>
      </text>
    </comment>
    <comment ref="B44" authorId="0" shapeId="0">
      <text>
        <t>Confidence: High (1.00)
Source: extracted, Page 12
Property, plant and equipment from Statement of Financial Position</t>
      </text>
    </comment>
    <comment ref="C44" authorId="0" shapeId="0">
      <text>
        <t>Confidence: High (1.00)
Source: extracted, Page 8
Property, plant and equipment from Statement of Financial Position</t>
      </text>
    </comment>
    <comment ref="D44" authorId="0" shapeId="0">
      <text>
        <t>Confidence: High (1.00)
Source: extracted, Page 12
Property, plant and equipment from the Balance Sheet.</t>
      </text>
    </comment>
    <comment ref="B45" authorId="0" shapeId="0">
      <text>
        <t>Confidence: High (1.00)
Source: extracted, Page 12
Goodwill from Statement of Financial Position</t>
      </text>
    </comment>
    <comment ref="C45" authorId="0" shapeId="0">
      <text>
        <t>Confidence: High (0.95)
Source: not_found
No intangible assets reported on the Balance Sheet.</t>
      </text>
    </comment>
    <comment ref="D45" authorId="0" shapeId="0">
      <text>
        <t>Confidence: High (1.00)
Source: not_found
No intangible assets reported.</t>
      </text>
    </comment>
    <comment ref="B46" authorId="0" shapeId="0">
      <text>
        <t>Confidence: High (0.95)
Source: not_found
No investments line found.</t>
      </text>
    </comment>
    <comment ref="C46" authorId="0" shapeId="0">
      <text>
        <t>Confidence: High (0.95)
Source: not_found
No investments reported on the Balance Sheet.</t>
      </text>
    </comment>
    <comment ref="D46" authorId="0" shapeId="0">
      <text>
        <t>Confidence: High (1.00)
Source: not_found
No investments reported.</t>
      </text>
    </comment>
    <comment ref="B47" authorId="0" shapeId="0">
      <text>
        <t>Confidence: High (0.90)
Source: not_found
No other fixed assets found.</t>
      </text>
    </comment>
    <comment ref="C47" authorId="0" shapeId="0">
      <text>
        <t>Confidence: High (0.90)
Source: not_found
No other fixed assets beyond PPE listed.</t>
      </text>
    </comment>
    <comment ref="B48" authorId="0" shapeId="0">
      <text>
        <t>Confidence: High (0.90)
Source: calculated
Residual of non-current assets is zero.</t>
      </text>
    </comment>
    <comment ref="C48" authorId="0" shapeId="0">
      <text>
        <t>Confidence: High (0.90)
Source: not_found
No other non-current assets reported on the Balance Sheet.</t>
      </text>
    </comment>
    <comment ref="B51" authorId="0" shapeId="0">
      <text>
        <t>Confidence: High (1.00)
Source: extracted, Page 12
Total current liabilities from Statement of Financial Position</t>
      </text>
    </comment>
    <comment ref="C51" authorId="0" shapeId="0">
      <text>
        <t>Confidence: High (1.00)
Source: extracted, Page 8
Total Current Liabilities from Statement of Financial Position</t>
      </text>
    </comment>
    <comment ref="D51" authorId="0" shapeId="0">
      <text>
        <t>Confidence: High (1.00)
Source: extracted, Page 12
Total Current Liabilities from the Balance Sheet.</t>
      </text>
    </comment>
    <comment ref="B52" authorId="0" shapeId="0">
      <text>
        <t>Confidence: High (1.00)
Source: extracted, Page 12
Trade payables from Statement of Financial Position</t>
      </text>
    </comment>
    <comment ref="C52" authorId="0" shapeId="0">
      <text>
        <t>Confidence: High (1.00)
Source: extracted, Page 8
Trade and other payables from Statement of Financial Position</t>
      </text>
    </comment>
    <comment ref="D52" authorId="0" shapeId="0">
      <text>
        <t>Confidence: High (1.00)
Source: extracted, Page 12
Trade payables from the Balance Sheet.</t>
      </text>
    </comment>
    <comment ref="B53" authorId="0" shapeId="0">
      <text>
        <t>Confidence: High (1.00)
Source: calculated
Calculated as Total current liabilities (13,651,330) - Trade payables (6,627,479).</t>
      </text>
    </comment>
    <comment ref="C53" authorId="0" shapeId="0">
      <text>
        <t>Confidence: High (1.00)
Source: calculated
calculator('2134287 - 1755295') which represents Borrowings (378,992) from Note 11.</t>
      </text>
    </comment>
    <comment ref="D53" authorId="0" shapeId="0">
      <text>
        <t>Confidence: High (1.00)
Source: calculated
Total Current Liabilities (2,486,044) - Trade payables (1,343,916).</t>
      </text>
    </comment>
    <comment ref="B55" authorId="0" shapeId="0">
      <text>
        <t>Confidence: High (1.00)
Source: extracted, Page 12
Lease liabilities non-current portion.</t>
      </text>
    </comment>
    <comment ref="C55" authorId="0" shapeId="0">
      <text>
        <t>Confidence: High (1.00)
Source: extracted, Page 8
Borrowings - interest bearing (non-current) from Statement of Financial Position</t>
      </text>
    </comment>
    <comment ref="D55" authorId="0" shapeId="0">
      <text>
        <t>Confidence: High (1.00)
Source: calculated
Sum of non-current Term loans (2,168,922) and Hire purchase loans (111,448).</t>
      </text>
    </comment>
    <comment ref="B56" authorId="0" shapeId="0">
      <text>
        <t>Confidence: High (1.00)
Source: extracted, Page 12
Deferred tax liabilities from Balance Sheet.</t>
      </text>
    </comment>
    <comment ref="C56" authorId="0" shapeId="0">
      <text>
        <t>Confidence: High (1.00)
Source: extracted, Page 8
Deferred tax liabilities from Statement of Financial Position</t>
      </text>
    </comment>
    <comment ref="D56" authorId="0" shapeId="0">
      <text>
        <t>Confidence: High (1.00)
Source: extracted, Page 12
Deferred taxation from the Balance Sheet.</t>
      </text>
    </comment>
    <comment ref="B57" authorId="0" shapeId="0">
      <text>
        <t>Confidence: High (1.00)
Source: extracted, Page 12
Total equity from Statement of Financial Position</t>
      </text>
    </comment>
    <comment ref="C57" authorId="0" shapeId="0">
      <text>
        <t>Confidence: High (1.00)
Source: extracted, Page 8
Total Equity from Statement of Financial Position</t>
      </text>
    </comment>
    <comment ref="D57" authorId="0" shapeId="0">
      <text>
        <t>Confidence: High (1.00)
Source: extracted, Page 12
Total equity from the Balance Sheet.</t>
      </text>
    </comment>
    <comment ref="B58" authorId="0" shapeId="0">
      <text>
        <t>Confidence: High (1.00)
Source: extracted, Page 12
Share capital (Ordinary Shares) from Statement of Financial Position</t>
      </text>
    </comment>
    <comment ref="C58" authorId="0" shapeId="0">
      <text>
        <t>Confidence: High (1.00)
Source: extracted, Page 8
Share capital from Statement of Financial Position</t>
      </text>
    </comment>
    <comment ref="D58" authorId="0" shapeId="0">
      <text>
        <t>Confidence: High (1.00)
Source: extracted, Page 12
Share capital from the Balance Sheet.</t>
      </text>
    </comment>
    <comment ref="B59" authorId="0" shapeId="0">
      <text>
        <t>Confidence: High (1.00)
Source: calculated
Calculated as Total equity (460,399,004) - Ordinary share capital (125,341,087).</t>
      </text>
    </comment>
    <comment ref="C59" authorId="0" shapeId="0">
      <text>
        <t>Confidence: High (1.00)
Source: extracted, Page 8
Retained earnings from Statement of Financial Position</t>
      </text>
    </comment>
    <comment ref="D59" authorId="0" shapeId="0">
      <text>
        <t>Confidence: High (1.00)
Source: extracted, Page 12
Retained earnings from the Balance Sheet.</t>
      </text>
    </comment>
  </commentList>
</comments>
</file>

<file path=xl/comments/comment4.xml><?xml version="1.0" encoding="utf-8"?>
<comments xmlns="http://schemas.openxmlformats.org/spreadsheetml/2006/main">
  <authors>
    <author>AI Extraction</author>
  </authors>
  <commentList>
    <comment ref="B6" authorId="0" shapeId="0">
      <text>
        <t>Confidence: High (1.00)
Source: extracted, Page 13
Statement of Profit or Loss prior year column</t>
      </text>
    </comment>
    <comment ref="C6" authorId="0" shapeId="0">
      <text>
        <t>Confidence: High (1.00)
Source: extracted, Page 10
Extracted from prior year column of Statement of Comprehensive Income</t>
      </text>
    </comment>
    <comment ref="D6" authorId="0" shapeId="0">
      <text>
        <t>Confidence: High (1.00)
Source: extracted, Page 12
Prior year column from the FY2023 financial statement.</t>
      </text>
    </comment>
    <comment ref="B10" authorId="0" shapeId="0">
      <text>
        <t>Confidence: High (1.00)
Source: extracted, Page 13
Revenue line (2022 column)</t>
      </text>
    </comment>
    <comment ref="C10" authorId="0" shapeId="0">
      <text>
        <t>Confidence: High (1.00)
Source: extracted, Page 10
Revenue line item on Statement of Comprehensive Income</t>
      </text>
    </comment>
    <comment ref="D10" authorId="0" shapeId="0">
      <text>
        <t>Confidence: High (1.00)
Source: extracted, Page 13
Extracted from Revenue line on the Statement of Comprehensive Income.</t>
      </text>
    </comment>
    <comment ref="B11" authorId="0" shapeId="0">
      <text>
        <t>Confidence: High (1.00)
Source: extracted, Page 13
Cost of sales line (2022 column)</t>
      </text>
    </comment>
    <comment ref="C11" authorId="0" shapeId="0">
      <text>
        <t>Confidence: High (1.00)
Source: extracted, Page 10
Cost of sales line item on Statement of Comprehensive Income</t>
      </text>
    </comment>
    <comment ref="D11" authorId="0" shapeId="0">
      <text>
        <t>Confidence: High (1.00)
Source: extracted, Page 13
Extracted from Operation cost line.</t>
      </text>
    </comment>
    <comment ref="B14" authorId="0" shapeId="0">
      <text>
        <t>Confidence: High (0.95)
Source: calculated
Calculated as Administrative expenses (18,083,274) - Total Depreciation (3,759,534) + Net Foreign Exchange Gain credit (179,401) to clean the base of credits per instructions.</t>
      </text>
    </comment>
    <comment ref="C14" authorId="0" shapeId="0">
      <text>
        <t>Confidence: High (0.95)
Source: calculated
calculator('(1417454 + 197234) - 317726 - 8465') where 1417454 is Admin, 197234 is Selling, 317726 is depr, and 8465 is embedded FX loss from Note 19.</t>
      </text>
    </comment>
    <comment ref="D14" authorId="0" shapeId="0">
      <text>
        <t>Confidence: High (0.95)
Source: calculated
Calculated: 'Other operating expenses' (1,089,510) - depreciation_amortization (204,549) - foreign_exchange_loss_operating (8,158).</t>
      </text>
    </comment>
    <comment ref="B15" authorId="0" shapeId="0">
      <text>
        <t>Confidence: High (1.00)
Source: extracted, Page 48
Depreciation of PPE (2022 column) from Note 21.</t>
      </text>
    </comment>
    <comment ref="C15" authorId="0" shapeId="0">
      <text>
        <t>Confidence: High (1.00)
Source: extracted, Page 29
Depreciation from Note 19 Profit Before Tax breakdown (prior year)</t>
      </text>
    </comment>
    <comment ref="D15" authorId="0" shapeId="0">
      <text>
        <t>Confidence: High (1.00)
Source: calculated
Sum of Amortization of leasehold property (22,857) and Depreciation of PPE (181,692) from Note 19.</t>
      </text>
    </comment>
    <comment ref="B16" authorId="0" shapeId="0">
      <text>
        <t>Confidence: High (1.00)
Source: not_found
No FX losses reported in 2022 (all were gains).</t>
      </text>
    </comment>
    <comment ref="C16" authorId="0" shapeId="0">
      <text>
        <t>Confidence: High (1.00)
Source: extracted, Page 29
Unrealised loss on foreign currency translation from Note 19 breakdown (2022 column)</t>
      </text>
    </comment>
    <comment ref="D16" authorId="0" shapeId="0">
      <text>
        <t>Confidence: High (1.00)
Source: extracted, Page 33
Extracted from 'Loss on foreign exchange' in Note 19.</t>
      </text>
    </comment>
    <comment ref="B17" authorId="0" shapeId="0">
      <text>
        <t>Confidence: High (1.00)
Source: not_found
No disposal loss reported.</t>
      </text>
    </comment>
    <comment ref="C17" authorId="0" shapeId="0">
      <text>
        <t>Confidence: High (0.90)
Source: not_found
No disposal loss reported in Note 19 charging section for 2022.</t>
      </text>
    </comment>
    <comment ref="D17" authorId="0" shapeId="0">
      <text>
        <t>Confidence: High (0.95)
Source: not_found
None found.</t>
      </text>
    </comment>
    <comment ref="B18" authorId="0" shapeId="0">
      <text>
        <t>Confidence: High (1.00)
Source: not_found
Other operating expenses IS line for 2022 was an income (reversal).</t>
      </text>
    </comment>
    <comment ref="C18" authorId="0" shapeId="0">
      <text>
        <t>Confidence: High (0.90)
Source: extracted, Page 10
Residual operating expenses from Statement of Comprehensive Income line 'Other operating expenses'</t>
      </text>
    </comment>
    <comment ref="D18" authorId="0" shapeId="0">
      <text>
        <t>Confidence: High (0.90)
Source: calculated
Residual is zero as container was fully allocated to SGA.</t>
      </text>
    </comment>
    <comment ref="B20" authorId="0" shapeId="0">
      <text>
        <t>Confidence: High (1.00)
Source: calculated
Sum of realised (146,363) and unrealised (33,038) FX gains from Note 21.</t>
      </text>
    </comment>
    <comment ref="C20" authorId="0" shapeId="0">
      <text>
        <t>Confidence: High (1.00)
Source: extracted, Page 28
Realised gain on foreign currency translation from Note 17 breakdown</t>
      </text>
    </comment>
    <comment ref="D20" authorId="0" shapeId="0">
      <text>
        <t>Confidence: High (1.00)
Source: extracted, Page 33
Extracted from 'Gain on foreign exchange' in Note 19.</t>
      </text>
    </comment>
    <comment ref="B21" authorId="0" shapeId="0">
      <text>
        <t>Confidence: High (1.00)
Source: not_found
No disposal gain reported.</t>
      </text>
    </comment>
    <comment ref="C21" authorId="0" shapeId="0">
      <text>
        <t>Confidence: High (1.00)
Source: extracted, Page 28
Gain on disposal of plant and equipment from Note 17 breakdown</t>
      </text>
    </comment>
    <comment ref="D21" authorId="0" shapeId="0">
      <text>
        <t>Confidence: High (1.00)
Source: extracted, Page 33
Disclosed as dash/nil for 2022.</t>
      </text>
    </comment>
    <comment ref="B22" authorId="0" shapeId="0">
      <text>
        <t>Confidence: High (1.00)
Source: calculated
Calculated as Other income from Note 19 (489,798) + Net change in impairment reversal credit (10,092) from the Income Statement. Reversals are included per instruction.</t>
      </text>
    </comment>
    <comment ref="C22" authorId="0" shapeId="0">
      <text>
        <t>Confidence: High (0.95)
Source: calculated
calculator('379679 - 43713 - 30999 - 45390') using Note 17 total and breakdown components.</t>
      </text>
    </comment>
    <comment ref="D22" authorId="0" shapeId="0">
      <text>
        <t>Confidence: High (0.95)
Source: calculated
Calculated: Total 'Other operating income' (8,231) - foreign_exchange_gain (3,547) - interest_income (2,684). This matches the 'Government wages subsidy' in Note 19.</t>
      </text>
    </comment>
    <comment ref="B25" authorId="0" shapeId="0">
      <text>
        <t>Confidence: High (1.00)
Source: not_found
All FX is operating.</t>
      </text>
    </comment>
    <comment ref="C25" authorId="0" shapeId="0">
      <text>
        <t>Confidence: High (0.90)
Source: not_found
No FX losses identified below operating profit.</t>
      </text>
    </comment>
    <comment ref="B26" authorId="0" shapeId="0">
      <text>
        <t>Confidence: High (1.00)
Source: not_found
No non-operating disposals found.</t>
      </text>
    </comment>
    <comment ref="C26" authorId="0" shapeId="0">
      <text>
        <t>Confidence: High (0.90)
Source: not_found
No disposal loss identified below operating profit.</t>
      </text>
    </comment>
    <comment ref="B27" authorId="0" shapeId="0">
      <text>
        <t>Confidence: High (1.00)
Source: extracted, Page 13
Finance costs line (2022 column).</t>
      </text>
    </comment>
    <comment ref="C27" authorId="0" shapeId="0">
      <text>
        <t>Confidence: High (1.00)
Source: extracted, Page 10
Finance costs from Statement of Comprehensive Income (prior year)</t>
      </text>
    </comment>
    <comment ref="D27" authorId="0" shapeId="0">
      <text>
        <t>Confidence: High (1.00)
Source: extracted, Page 13
Finance cost from the Statement of Comprehensive Income.</t>
      </text>
    </comment>
    <comment ref="B28" authorId="0" shapeId="0">
      <text>
        <t>Confidence: High (0.90)
Source: not_found
No other non-operating expenses found.</t>
      </text>
    </comment>
    <comment ref="C28" authorId="0" shapeId="0">
      <text>
        <t>Confidence: High (0.80)
Source: not_found
No other non-operating expenses identified.</t>
      </text>
    </comment>
    <comment ref="D28" authorId="0" shapeId="0">
      <text>
        <t>Confidence: High (0.90)
Source: not_found
None found.</t>
      </text>
    </comment>
    <comment ref="B30" authorId="0" shapeId="0">
      <text>
        <t>Confidence: High (1.00)
Source: not_found
All FX is operating.</t>
      </text>
    </comment>
    <comment ref="C30" authorId="0" shapeId="0">
      <text>
        <t>Confidence: High (0.90)
Source: not_found
No FX gains identified below operating profit.</t>
      </text>
    </comment>
    <comment ref="B31" authorId="0" shapeId="0">
      <text>
        <t>Confidence: High (1.00)
Source: not_found
No non-operating disposals found.</t>
      </text>
    </comment>
    <comment ref="C31" authorId="0" shapeId="0">
      <text>
        <t>Confidence: High (0.90)
Source: not_found
No disposal gains identified below operating profit.</t>
      </text>
    </comment>
    <comment ref="B32" authorId="0" shapeId="0">
      <text>
        <t>Confidence: High (1.00)
Source: calculated
Sum of interest on amount due from holding company (1,895,095) and bank interest (317,863) from Note 19.</t>
      </text>
    </comment>
    <comment ref="C32" authorId="0" shapeId="0">
      <text>
        <t>Confidence: High (1.00)
Source: extracted, Page 28
Interest income from Note 17 Other Income breakdown</t>
      </text>
    </comment>
    <comment ref="D32" authorId="0" shapeId="0">
      <text>
        <t>Confidence: High (1.00)
Source: extracted, Page 33
Extracted from 'Interest income' in Note 19.</t>
      </text>
    </comment>
    <comment ref="B33" authorId="0" shapeId="0">
      <text>
        <t>Confidence: High (0.90)
Source: not_found
No other non-operating income found.</t>
      </text>
    </comment>
    <comment ref="C33" authorId="0" shapeId="0">
      <text>
        <t>Confidence: High (0.80)
Source: not_found
No other clearly non-operating/financial income identified.</t>
      </text>
    </comment>
    <comment ref="D33" authorId="0" shapeId="0">
      <text>
        <t>Confidence: High (0.90)
Source: not_found
None found.</t>
      </text>
    </comment>
    <comment ref="B38" authorId="0" shapeId="0">
      <text>
        <t>Confidence: High (1.00)
Source: extracted, Page 12
Total current assets prior year column.</t>
      </text>
    </comment>
    <comment ref="C38" authorId="0" shapeId="0">
      <text>
        <t>Confidence: High (1.00)
Source: extracted, Page 8
Total Current Assets from Statement of Financial Position (prior year)</t>
      </text>
    </comment>
    <comment ref="D38" authorId="0" shapeId="0">
      <text>
        <t>Confidence: High (1.00)
Source: extracted, Page 12
Total Current Assets from the Balance Sheet.</t>
      </text>
    </comment>
    <comment ref="B39" authorId="0" shapeId="0">
      <text>
        <t>Confidence: High (1.00)
Source: extracted, Page 12
Cash and bank balances prior year column.</t>
      </text>
    </comment>
    <comment ref="C39" authorId="0" shapeId="0">
      <text>
        <t>Confidence: High (1.00)
Source: extracted, Page 8
Cash and cash equivalents from Statement of Financial Position (prior year)</t>
      </text>
    </comment>
    <comment ref="D39" authorId="0" shapeId="0">
      <text>
        <t>Confidence: High (1.00)
Source: calculated
Sum of Fixed deposit (100,366), Cash at bank (236,373), and Cash in hand (11,907).</t>
      </text>
    </comment>
    <comment ref="B40" authorId="0" shapeId="0">
      <text>
        <t>Confidence: High (1.00)
Source: extracted, Page 12
Trade receivables prior year column.</t>
      </text>
    </comment>
    <comment ref="C40" authorId="0" shapeId="0">
      <text>
        <t>Confidence: High (1.00)
Source: extracted, Page 8
Trade and other receivables from Statement of Financial Position (prior year)</t>
      </text>
    </comment>
    <comment ref="D40" authorId="0" shapeId="0">
      <text>
        <t>Confidence: High (1.00)
Source: extracted, Page 12
Trade receivables from the Balance Sheet.</t>
      </text>
    </comment>
    <comment ref="B41" authorId="0" shapeId="0">
      <text>
        <t>Confidence: High (1.00)
Source: extracted, Page 12
Inventories prior year column.</t>
      </text>
    </comment>
    <comment ref="C41" authorId="0" shapeId="0">
      <text>
        <t>Confidence: High (1.00)
Source: extracted, Page 8
Inventories from Statement of Financial Position (prior year)</t>
      </text>
    </comment>
    <comment ref="D41" authorId="0" shapeId="0">
      <text>
        <t>Confidence: High (1.00)
Source: extracted, Page 12
Inventories from the Balance Sheet.</t>
      </text>
    </comment>
    <comment ref="B42" authorId="0" shapeId="0">
      <text>
        <t>Confidence: High (1.00)
Source: calculated
Residual of current assets (182,015,084 - 16,809,167 - 18,353,860 - 17,924,835).</t>
      </text>
    </comment>
    <comment ref="C42" authorId="0" shapeId="0">
      <text>
        <t>Confidence: High (1.00)
Source: extracted, Page 8
Current tax assets from Statement of Financial Position (prior year)</t>
      </text>
    </comment>
    <comment ref="D42" authorId="0" shapeId="0">
      <text>
        <t>Confidence: High (1.00)
Source: calculated
Sum of Other receivables, deposits and prepayments (76,084) and Current tax asset (108,457).</t>
      </text>
    </comment>
    <comment ref="B44" authorId="0" shapeId="0">
      <text>
        <t>Confidence: High (1.00)
Source: extracted, Page 12
Property, plant and equipment prior year column.</t>
      </text>
    </comment>
    <comment ref="C44" authorId="0" shapeId="0">
      <text>
        <t>Confidence: High (1.00)
Source: extracted, Page 8
Property, plant and equipment from Statement of Financial Position (prior year)</t>
      </text>
    </comment>
    <comment ref="D44" authorId="0" shapeId="0">
      <text>
        <t>Confidence: High (1.00)
Source: extracted, Page 12
Property, plant and equipment from the Balance Sheet.</t>
      </text>
    </comment>
    <comment ref="B45" authorId="0" shapeId="0">
      <text>
        <t>Confidence: High (1.00)
Source: extracted, Page 12
Goodwill prior year column.</t>
      </text>
    </comment>
    <comment ref="C45" authorId="0" shapeId="0">
      <text>
        <t>Confidence: High (0.95)
Source: not_found
No intangible assets reported.</t>
      </text>
    </comment>
    <comment ref="D45" authorId="0" shapeId="0">
      <text>
        <t>Confidence: High (1.00)
Source: not_found
No intangible assets reported.</t>
      </text>
    </comment>
    <comment ref="B46" authorId="0" shapeId="0">
      <text>
        <t>Confidence: High (0.95)
Source: not_found
No investments found.</t>
      </text>
    </comment>
    <comment ref="C46" authorId="0" shapeId="0">
      <text>
        <t>Confidence: High (0.95)
Source: not_found
No investments reported.</t>
      </text>
    </comment>
    <comment ref="D46" authorId="0" shapeId="0">
      <text>
        <t>Confidence: High (1.00)
Source: not_found
No investments reported.</t>
      </text>
    </comment>
    <comment ref="B47" authorId="0" shapeId="0">
      <text>
        <t>Confidence: High (0.90)
Source: not_found
No other fixed assets found.</t>
      </text>
    </comment>
    <comment ref="C47" authorId="0" shapeId="0">
      <text>
        <t>Confidence: High (0.90)
Source: not_found
No other fixed assets beyond PPE listed.</t>
      </text>
    </comment>
    <comment ref="B48" authorId="0" shapeId="0">
      <text>
        <t>Confidence: High (0.90)
Source: calculated
Residual of non-current assets is zero.</t>
      </text>
    </comment>
    <comment ref="C48" authorId="0" shapeId="0">
      <text>
        <t>Confidence: High (0.90)
Source: not_found
No other non-current assets reported.</t>
      </text>
    </comment>
    <comment ref="B51" authorId="0" shapeId="0">
      <text>
        <t>Confidence: High (1.00)
Source: extracted, Page 12
Total current liabilities prior year column.</t>
      </text>
    </comment>
    <comment ref="C51" authorId="0" shapeId="0">
      <text>
        <t>Confidence: High (1.00)
Source: extracted, Page 8
Total Current Liabilities from Statement of Financial Position (prior year)</t>
      </text>
    </comment>
    <comment ref="D51" authorId="0" shapeId="0">
      <text>
        <t>Confidence: High (1.00)
Source: extracted, Page 12
Total Current Liabilities from the Balance Sheet.</t>
      </text>
    </comment>
    <comment ref="B52" authorId="0" shapeId="0">
      <text>
        <t>Confidence: High (1.00)
Source: extracted, Page 12
Trade payables prior year column.</t>
      </text>
    </comment>
    <comment ref="C52" authorId="0" shapeId="0">
      <text>
        <t>Confidence: High (1.00)
Source: extracted, Page 8
Trade and other payables from Statement of Financial Position (prior year)</t>
      </text>
    </comment>
    <comment ref="D52" authorId="0" shapeId="0">
      <text>
        <t>Confidence: High (1.00)
Source: extracted, Page 12
Trade payables from the Balance Sheet.</t>
      </text>
    </comment>
    <comment ref="B53" authorId="0" shapeId="0">
      <text>
        <t>Confidence: High (1.00)
Source: calculated
Calculated as Total current liabilities (14,104,043) - Trade payables (7,256,753).</t>
      </text>
    </comment>
    <comment ref="C53" authorId="0" shapeId="0">
      <text>
        <t>Confidence: High (1.00)
Source: calculated
calculator('1826317 - 1358536') representing other current liab components like borrowings and tax.</t>
      </text>
    </comment>
    <comment ref="D53" authorId="0" shapeId="0">
      <text>
        <t>Confidence: High (1.00)
Source: calculated
Total Current Liabilities (1,994,879) - Trade payables (805,524).</t>
      </text>
    </comment>
    <comment ref="B55" authorId="0" shapeId="0">
      <text>
        <t>Confidence: High (1.00)
Source: extracted, Page 12
Lease liabilities non-current portion (2022).</t>
      </text>
    </comment>
    <comment ref="C55" authorId="0" shapeId="0">
      <text>
        <t>Confidence: High (1.00)
Source: extracted, Page 8
Borrowings - interest bearing (non-current) from Statement of Financial Position (prior year)</t>
      </text>
    </comment>
    <comment ref="D55" authorId="0" shapeId="0">
      <text>
        <t>Confidence: High (1.00)
Source: calculated
Sum of non-current Term loans (2,418,856) and Hire purchase loans (8,612).</t>
      </text>
    </comment>
    <comment ref="B56" authorId="0" shapeId="0">
      <text>
        <t>Confidence: High (1.00)
Source: extracted, Page 12
Deferred tax liabilities prior year column.</t>
      </text>
    </comment>
    <comment ref="C56" authorId="0" shapeId="0">
      <text>
        <t>Confidence: High (0.95)
Source: not_found
No value shown for 2022 Deferred tax liabilities line item.</t>
      </text>
    </comment>
    <comment ref="D56" authorId="0" shapeId="0">
      <text>
        <t>Confidence: High (1.00)
Source: extracted, Page 12
Deferred taxation from the Balance Sheet.</t>
      </text>
    </comment>
    <comment ref="B57" authorId="0" shapeId="0">
      <text>
        <t>Confidence: High (1.00)
Source: extracted, Page 12
Total equity prior year column.</t>
      </text>
    </comment>
    <comment ref="C57" authorId="0" shapeId="0">
      <text>
        <t>Confidence: High (1.00)
Source: extracted, Page 8
Total Equity from Statement of Financial Position (prior year)</t>
      </text>
    </comment>
    <comment ref="D57" authorId="0" shapeId="0">
      <text>
        <t>Confidence: High (1.00)
Source: extracted, Page 12
Total equity from the Balance Sheet.</t>
      </text>
    </comment>
    <comment ref="B58" authorId="0" shapeId="0">
      <text>
        <t>Confidence: High (1.00)
Source: extracted, Page 12
Share capital prior year column.</t>
      </text>
    </comment>
    <comment ref="C58" authorId="0" shapeId="0">
      <text>
        <t>Confidence: High (1.00)
Source: extracted, Page 8
Share capital from Statement of Financial Position (prior year)</t>
      </text>
    </comment>
    <comment ref="D58" authorId="0" shapeId="0">
      <text>
        <t>Confidence: High (1.00)
Source: extracted, Page 12
Share capital from the Balance Sheet.</t>
      </text>
    </comment>
    <comment ref="B59" authorId="0" shapeId="0">
      <text>
        <t>Confidence: High (1.00)
Source: calculated
Calculated as Total equity (445,067,359) - Share capital (125,341,087).</t>
      </text>
    </comment>
    <comment ref="C59" authorId="0" shapeId="0">
      <text>
        <t>Confidence: High (1.00)
Source: extracted, Page 8
Retained earnings from Statement of Financial Position (prior year)</t>
      </text>
    </comment>
    <comment ref="D59" authorId="0" shapeId="0">
      <text>
        <t>Confidence: High (1.00)
Source: extracted, Page 12
Retained earnings from the Balance Sheet.</t>
      </text>
    </comment>
  </commentList>
</comment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filterMode="0">
    <outlinePr summaryBelow="1" summaryRight="1"/>
    <pageSetUpPr fitToPage="0"/>
  </sheetPr>
  <dimension ref="A1:XFD5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3.54296875" defaultRowHeight="13.8" customHeight="1" zeroHeight="1" outlineLevelRow="0"/>
  <cols>
    <col width="6.82" customWidth="1" style="108" min="1" max="1"/>
    <col width="14.18" customWidth="1" style="108" min="2" max="2"/>
    <col width="32.18" customWidth="1" style="108" min="3" max="3"/>
    <col width="63.73" customWidth="1" style="108" min="4" max="4"/>
    <col width="52.18" customWidth="1" style="108" min="5" max="5"/>
    <col width="1.54" customWidth="1" style="108" min="6" max="6"/>
    <col width="23.45" customWidth="1" style="109" min="7" max="7"/>
    <col width="19.82" customWidth="1" style="110" min="8" max="8"/>
    <col width="9.18" customWidth="1" style="108" min="9" max="18"/>
    <col width="10.18" customWidth="1" style="108" min="19" max="19"/>
    <col width="26.45" customWidth="1" style="108" min="20" max="20"/>
    <col width="37.54" customWidth="1" style="111" min="21" max="21"/>
    <col width="3.54" customWidth="1" style="108" min="22" max="22"/>
    <col width="11.18" customWidth="1" style="108" min="23" max="26"/>
    <col width="9.82" customWidth="1" style="108" min="27" max="30"/>
    <col width="3.54" customWidth="1" style="108" min="31" max="101"/>
    <col width="9.18" customWidth="1" style="108" min="102" max="235"/>
    <col width="3.54" customWidth="1" style="108" min="236" max="16379"/>
    <col width="11.53" customWidth="1" style="110" min="16380" max="16384"/>
  </cols>
  <sheetData>
    <row r="1" ht="13.8" customHeight="1" s="112">
      <c r="A1" s="113" t="inlineStr">
        <is>
          <t>TONG HEER FASTENERS CO. SDN. BHD.</t>
        </is>
      </c>
      <c r="E1" s="114" t="n"/>
      <c r="F1" s="114" t="n"/>
      <c r="G1" s="115" t="n"/>
    </row>
    <row r="2" ht="13.8" customHeight="1" s="112">
      <c r="A2" s="113" t="inlineStr">
        <is>
          <t>Summary of accepted companies - 3 companies</t>
        </is>
      </c>
      <c r="E2" s="114" t="n"/>
      <c r="F2" s="114" t="n"/>
      <c r="G2" s="115" t="n"/>
    </row>
    <row r="3" ht="13.8" customHeight="1" s="112">
      <c r="G3" s="116" t="n"/>
      <c r="I3" s="117" t="n"/>
      <c r="J3" s="117" t="n"/>
      <c r="K3" s="117" t="n"/>
      <c r="L3" s="117" t="n"/>
      <c r="M3" s="117" t="n"/>
      <c r="N3" s="117" t="n"/>
      <c r="O3" s="117" t="n"/>
      <c r="P3" s="117" t="n"/>
      <c r="Q3" s="117" t="n"/>
      <c r="R3" s="117" t="n"/>
      <c r="S3" s="117" t="n"/>
      <c r="T3" s="117" t="n"/>
      <c r="U3" s="117" t="n"/>
      <c r="V3" s="117" t="n"/>
      <c r="W3" s="117" t="n"/>
      <c r="X3" s="117" t="n"/>
      <c r="Y3" s="117" t="n"/>
      <c r="Z3" s="117" t="n"/>
      <c r="AA3" s="117" t="n"/>
      <c r="AB3" s="117" t="n"/>
      <c r="AC3" s="117" t="n"/>
      <c r="AD3" s="117" t="n"/>
    </row>
    <row r="4" ht="27" customFormat="1" customHeight="1" s="118">
      <c r="A4" s="119" t="inlineStr">
        <is>
          <t>#</t>
        </is>
      </c>
      <c r="B4" s="119" t="inlineStr">
        <is>
          <t>Registration number</t>
        </is>
      </c>
      <c r="C4" s="120" t="inlineStr">
        <is>
          <t>Legal entity name</t>
        </is>
      </c>
      <c r="D4" s="120" t="inlineStr">
        <is>
          <t>Business description as per website</t>
        </is>
      </c>
      <c r="E4" s="120" t="inlineStr">
        <is>
          <t>Business description as per audited accounts</t>
        </is>
      </c>
      <c r="F4" s="108" t="n"/>
      <c r="G4" s="121" t="inlineStr">
        <is>
          <t>Operating profit margin</t>
        </is>
      </c>
      <c r="H4" s="110" t="n"/>
      <c r="I4" s="117" t="n"/>
      <c r="J4" s="117" t="n"/>
      <c r="K4" s="117" t="n"/>
      <c r="L4" s="117" t="n"/>
      <c r="M4" s="117" t="n"/>
      <c r="N4" s="117" t="n"/>
      <c r="O4" s="117" t="n"/>
      <c r="P4" s="117" t="n"/>
      <c r="Q4" s="117" t="n"/>
      <c r="R4" s="117" t="n"/>
      <c r="S4" s="117" t="n"/>
      <c r="T4" s="117" t="n"/>
      <c r="U4" s="117" t="n"/>
      <c r="V4" s="117" t="n"/>
      <c r="W4" s="117" t="n"/>
      <c r="X4" s="117" t="n"/>
      <c r="Y4" s="117" t="n"/>
      <c r="Z4" s="117" t="n"/>
      <c r="AA4" s="117" t="n"/>
      <c r="AB4" s="117" t="n"/>
      <c r="AC4" s="117" t="n"/>
      <c r="AD4" s="117" t="n"/>
      <c r="XEZ4" s="110" t="n"/>
      <c r="XFA4" s="110" t="n"/>
      <c r="XFB4" s="110" t="n"/>
      <c r="XFC4" s="110" t="n"/>
      <c r="XFD4" s="110" t="n"/>
    </row>
    <row r="5" ht="29.25" customFormat="1" customHeight="1" s="122">
      <c r="A5" s="123" t="n"/>
      <c r="B5" s="123" t="n"/>
      <c r="C5" s="123" t="n"/>
      <c r="D5" s="123" t="n"/>
      <c r="E5" s="123" t="n"/>
      <c r="F5" s="108" t="n"/>
      <c r="G5" s="124" t="n">
        <v>2024</v>
      </c>
      <c r="H5" s="110" t="n"/>
      <c r="I5" s="117" t="n"/>
      <c r="J5" s="117" t="n"/>
      <c r="K5" s="117" t="n"/>
      <c r="L5" s="117" t="n"/>
      <c r="M5" s="117" t="n"/>
      <c r="N5" s="117" t="n"/>
      <c r="O5" s="117" t="n"/>
      <c r="P5" s="117" t="n"/>
      <c r="Q5" s="117" t="n"/>
      <c r="R5" s="117" t="n"/>
      <c r="S5" s="117" t="n"/>
      <c r="T5" s="117" t="n"/>
      <c r="U5" s="117" t="n"/>
      <c r="V5" s="117" t="n"/>
      <c r="W5" s="117" t="n"/>
      <c r="X5" s="117" t="n"/>
      <c r="Y5" s="117" t="n"/>
      <c r="Z5" s="117" t="n"/>
      <c r="AA5" s="117" t="n"/>
      <c r="AB5" s="117" t="n"/>
      <c r="AC5" s="117" t="n"/>
      <c r="AD5" s="117" t="n"/>
      <c r="XEZ5" s="110" t="n"/>
      <c r="XFA5" s="110" t="n"/>
      <c r="XFB5" s="110" t="n"/>
      <c r="XFC5" s="110" t="n"/>
      <c r="XFD5" s="110" t="n"/>
    </row>
    <row r="6" ht="105" customHeight="1" s="112">
      <c r="A6" s="125" t="n">
        <v>1</v>
      </c>
      <c r="B6" s="126" t="inlineStr">
        <is>
          <t>908055-D</t>
        </is>
      </c>
      <c r="C6" s="126" t="inlineStr">
        <is>
          <t>Infastech (Malaysia) Sdn Bhd</t>
        </is>
      </c>
      <c r="D6" s="126" t="inlineStr">
        <is>
          <t>Manufacturing of fasteners for electronic and telecommunication equipment and computer hard-disk drives. the company also operates as a merchant wholesaler of other electronic parts and equipment, providing precision fastening and assembly solutions for various industries.
https://www.stanleyengineeredfastening.com</t>
        </is>
      </c>
      <c r="E6" s="126" t="inlineStr">
        <is>
          <t>The company is principally engaged in the manufacturing of fasteners for electronic and telecommunication equipment and computer hard-disk drives.</t>
        </is>
      </c>
      <c r="G6" s="127">
        <f>HLOOKUP($C6,'2024'!$A$5:$ZZ$150,69,0)</f>
        <v/>
      </c>
    </row>
    <row r="7" ht="60" customFormat="1" customHeight="1" s="110">
      <c r="A7" s="125" t="n">
        <v>2</v>
      </c>
      <c r="B7" s="126" t="inlineStr">
        <is>
          <t>578379-U</t>
        </is>
      </c>
      <c r="C7" s="126" t="inlineStr">
        <is>
          <t>SYW INDUSTRY SDN BHD</t>
        </is>
      </c>
      <c r="D7" s="126" t="inlineStr">
        <is>
          <t>Manufacturing and trading of metal and relevant products, specializing in fasteners and mild steel products for the building and construction industry.
https://www.syw.com.my/</t>
        </is>
      </c>
      <c r="E7" s="126" t="inlineStr">
        <is>
          <t>Manufacturing and trading of metal and relevant products</t>
        </is>
      </c>
      <c r="G7" s="127">
        <f>HLOOKUP($C7,'2024'!$A$5:$ZZ$150,69,0)</f>
        <v/>
      </c>
    </row>
    <row r="8" ht="105" customHeight="1" s="112">
      <c r="A8" s="125" t="n">
        <v>3</v>
      </c>
      <c r="B8" s="126" t="inlineStr">
        <is>
          <t>525223-H</t>
        </is>
      </c>
      <c r="C8" s="126" t="inlineStr">
        <is>
          <t>ALIGN FASTENERS MANUFACTURING SDN BHD</t>
        </is>
      </c>
      <c r="D8" s="126" t="inlineStr">
        <is>
          <t>Manufacturing of screws, bolts, rivets, and other cold form products using processes such as cold forming, thread rolling, thread point cutting, and metal stamping. the company serves various industries including automotive, electronic, electrical, home appliance, and furniture sectors.
https://www.screwboltrivetmalaysia.com</t>
        </is>
      </c>
      <c r="E8" s="126" t="inlineStr"/>
      <c r="G8" s="127">
        <f>HLOOKUP($C8,'2024'!$A$5:$ZZ$150,69,0)</f>
        <v/>
      </c>
    </row>
    <row r="9" ht="13.8" customFormat="1" customHeight="1" s="111">
      <c r="A9" s="128" t="n"/>
      <c r="B9" s="129" t="n"/>
      <c r="C9" s="129" t="n"/>
      <c r="D9" s="129" t="n"/>
      <c r="E9" s="130" t="n"/>
      <c r="G9" s="131" t="inlineStr">
        <is>
          <t>FY 2024</t>
        </is>
      </c>
      <c r="I9" s="117" t="n"/>
      <c r="J9" s="117" t="n"/>
      <c r="K9" s="117" t="n"/>
      <c r="L9" s="117" t="n"/>
      <c r="M9" s="117" t="n"/>
      <c r="N9" s="117" t="n"/>
      <c r="O9" s="117" t="n"/>
      <c r="P9" s="117" t="n"/>
      <c r="Q9" s="117" t="n"/>
      <c r="R9" s="117" t="n"/>
      <c r="S9" s="117" t="n"/>
      <c r="T9" s="117" t="n"/>
      <c r="U9" s="117" t="n"/>
      <c r="V9" s="117" t="n"/>
      <c r="W9" s="117" t="n"/>
      <c r="X9" s="117" t="n"/>
      <c r="Y9" s="117" t="n"/>
      <c r="Z9" s="117" t="n"/>
      <c r="AA9" s="117" t="n"/>
      <c r="AB9" s="117" t="n"/>
      <c r="AC9" s="117" t="n"/>
      <c r="AD9" s="117" t="n"/>
    </row>
    <row r="10" ht="35.25" customFormat="1" customHeight="1" s="111">
      <c r="A10" s="132" t="inlineStr">
        <is>
          <t>##</t>
        </is>
      </c>
      <c r="B10" s="132" t="inlineStr">
        <is>
          <t>///</t>
        </is>
      </c>
      <c r="C10" s="133" t="inlineStr">
        <is>
          <t>TONG HEER FASTENERS CO. SDN. BHD.</t>
        </is>
      </c>
      <c r="D10" s="134" t="inlineStr">
        <is>
          <t>The company is principally engaged in the manufacture and sale of stainless steel fasteners including nuts, bolts, screws and all other threaded items.</t>
        </is>
      </c>
      <c r="E10" s="135" t="n"/>
      <c r="F10" s="136" t="n"/>
      <c r="G10" s="137">
        <f>'Tested party'!B71</f>
        <v/>
      </c>
      <c r="I10" s="117" t="n"/>
      <c r="J10" s="117" t="n"/>
      <c r="K10" s="117" t="n"/>
      <c r="L10" s="117" t="n"/>
      <c r="M10" s="117" t="n"/>
      <c r="N10" s="117" t="n"/>
      <c r="O10" s="117" t="n"/>
      <c r="P10" s="117" t="n"/>
      <c r="Q10" s="117" t="n"/>
      <c r="R10" s="117" t="n"/>
      <c r="S10" s="117" t="n"/>
      <c r="T10" s="117" t="n"/>
      <c r="U10" s="117" t="n"/>
      <c r="V10" s="117" t="n"/>
      <c r="W10" s="117" t="n"/>
      <c r="X10" s="117" t="n"/>
      <c r="Y10" s="117" t="n"/>
      <c r="Z10" s="117" t="n"/>
      <c r="AA10" s="117" t="n"/>
      <c r="AB10" s="117" t="n"/>
      <c r="AC10" s="117" t="n"/>
      <c r="AD10" s="117" t="n"/>
      <c r="AE10" s="138" t="n"/>
      <c r="AF10" s="138" t="n"/>
      <c r="AG10" s="138" t="n"/>
      <c r="AH10" s="138" t="n"/>
      <c r="AI10" s="138" t="n"/>
      <c r="AJ10" s="138" t="n"/>
      <c r="AK10" s="138" t="n"/>
      <c r="AL10" s="138" t="n"/>
      <c r="AM10" s="138" t="n"/>
      <c r="AN10" s="138" t="n"/>
      <c r="AO10" s="138" t="n"/>
      <c r="AP10" s="138" t="n"/>
      <c r="AQ10" s="138" t="n"/>
      <c r="AR10" s="138" t="n"/>
      <c r="AS10" s="138" t="n"/>
      <c r="AT10" s="138" t="n"/>
      <c r="AU10" s="138" t="n"/>
      <c r="AV10" s="138" t="n"/>
      <c r="AW10" s="138" t="n"/>
      <c r="AX10" s="138" t="n"/>
      <c r="AY10" s="138" t="n"/>
      <c r="AZ10" s="138" t="n"/>
      <c r="BA10" s="138" t="n"/>
      <c r="BB10" s="138" t="n"/>
      <c r="BC10" s="138" t="n"/>
      <c r="BD10" s="138" t="n"/>
      <c r="BE10" s="138" t="n"/>
      <c r="BF10" s="138" t="n"/>
      <c r="BG10" s="138" t="n"/>
      <c r="BH10" s="138" t="n"/>
      <c r="BI10" s="138" t="n"/>
      <c r="BJ10" s="138" t="n"/>
      <c r="BK10" s="138" t="n"/>
      <c r="BL10" s="138" t="n"/>
      <c r="BM10" s="138" t="n"/>
      <c r="BN10" s="138" t="n"/>
      <c r="BO10" s="138" t="n"/>
      <c r="BP10" s="138" t="n"/>
      <c r="BQ10" s="138" t="n"/>
      <c r="BR10" s="138" t="n"/>
      <c r="BS10" s="138" t="n"/>
      <c r="BT10" s="138" t="n"/>
      <c r="BU10" s="138" t="n"/>
      <c r="BV10" s="138" t="n"/>
      <c r="BW10" s="138" t="n"/>
      <c r="BX10" s="138" t="n"/>
      <c r="BY10" s="138" t="n"/>
      <c r="BZ10" s="138" t="n"/>
      <c r="CA10" s="138" t="n"/>
      <c r="CB10" s="138" t="n"/>
      <c r="CC10" s="138" t="n"/>
      <c r="CD10" s="138" t="n"/>
      <c r="CE10" s="138" t="n"/>
      <c r="CF10" s="138" t="n"/>
      <c r="CG10" s="138" t="n"/>
      <c r="CH10" s="138" t="n"/>
      <c r="CI10" s="138" t="n"/>
      <c r="CJ10" s="138" t="n"/>
      <c r="CK10" s="138" t="n"/>
      <c r="CL10" s="138" t="n"/>
      <c r="CM10" s="138" t="n"/>
      <c r="CN10" s="138" t="n"/>
      <c r="CO10" s="138" t="n"/>
      <c r="CP10" s="138" t="n"/>
      <c r="CQ10" s="138" t="n"/>
      <c r="CR10" s="138" t="n"/>
      <c r="CS10" s="138" t="n"/>
      <c r="CT10" s="138" t="n"/>
      <c r="CU10" s="138" t="n"/>
      <c r="CV10" s="138" t="n"/>
      <c r="CW10" s="138" t="n"/>
      <c r="CX10" s="138" t="n"/>
      <c r="CY10" s="138" t="n"/>
      <c r="CZ10" s="138" t="n"/>
      <c r="DA10" s="138" t="n"/>
      <c r="DB10" s="138" t="n"/>
      <c r="DC10" s="138" t="n"/>
      <c r="DD10" s="138" t="n"/>
      <c r="DE10" s="138" t="n"/>
      <c r="DF10" s="138" t="n"/>
      <c r="DG10" s="138" t="n"/>
      <c r="DH10" s="138" t="n"/>
      <c r="DI10" s="138" t="n"/>
      <c r="DJ10" s="138" t="n"/>
      <c r="DK10" s="138" t="n"/>
      <c r="DL10" s="138" t="n"/>
      <c r="DM10" s="138" t="n"/>
      <c r="DN10" s="138" t="n"/>
      <c r="DO10" s="138" t="n"/>
      <c r="DP10" s="138" t="n"/>
      <c r="DQ10" s="138" t="n"/>
      <c r="DR10" s="138" t="n"/>
      <c r="DS10" s="138" t="n"/>
      <c r="DT10" s="138" t="n"/>
      <c r="DU10" s="138" t="n"/>
      <c r="DV10" s="138" t="n"/>
      <c r="DW10" s="138" t="n"/>
      <c r="DX10" s="138" t="n"/>
      <c r="DY10" s="138" t="n"/>
      <c r="DZ10" s="138" t="n"/>
      <c r="EA10" s="138" t="n"/>
      <c r="EB10" s="138" t="n"/>
      <c r="EC10" s="138" t="n"/>
      <c r="ED10" s="138" t="n"/>
      <c r="EE10" s="138" t="n"/>
      <c r="EF10" s="138" t="n"/>
      <c r="EG10" s="138" t="n"/>
      <c r="EH10" s="138" t="n"/>
      <c r="EI10" s="138" t="n"/>
      <c r="EJ10" s="138" t="n"/>
      <c r="EK10" s="138" t="n"/>
      <c r="EL10" s="138" t="n"/>
      <c r="EM10" s="138" t="n"/>
      <c r="EN10" s="138" t="n"/>
      <c r="EO10" s="138" t="n"/>
      <c r="EP10" s="138" t="n"/>
      <c r="EQ10" s="138" t="n"/>
      <c r="ER10" s="138" t="n"/>
      <c r="ES10" s="138" t="n"/>
      <c r="ET10" s="138" t="n"/>
      <c r="EU10" s="138" t="n"/>
      <c r="EV10" s="138" t="n"/>
      <c r="EW10" s="138" t="n"/>
      <c r="EX10" s="138" t="n"/>
      <c r="EY10" s="138" t="n"/>
      <c r="EZ10" s="138" t="n"/>
      <c r="FA10" s="138" t="n"/>
      <c r="FB10" s="138" t="n"/>
      <c r="FC10" s="138" t="n"/>
      <c r="FD10" s="138" t="n"/>
      <c r="FE10" s="138" t="n"/>
      <c r="FF10" s="138" t="n"/>
      <c r="FG10" s="138" t="n"/>
      <c r="FH10" s="138" t="n"/>
      <c r="FI10" s="138" t="n"/>
      <c r="FJ10" s="138" t="n"/>
      <c r="FK10" s="138" t="n"/>
      <c r="FL10" s="138" t="n"/>
      <c r="FM10" s="138" t="n"/>
      <c r="FN10" s="138" t="n"/>
      <c r="FO10" s="138" t="n"/>
      <c r="FP10" s="138" t="n"/>
      <c r="FQ10" s="138" t="n"/>
      <c r="FR10" s="138" t="n"/>
      <c r="FS10" s="138" t="n"/>
      <c r="FT10" s="138" t="n"/>
      <c r="FU10" s="138" t="n"/>
      <c r="FV10" s="138" t="n"/>
      <c r="FW10" s="138" t="n"/>
      <c r="FX10" s="138" t="n"/>
      <c r="FY10" s="138" t="n"/>
      <c r="FZ10" s="138" t="n"/>
      <c r="GA10" s="138" t="n"/>
      <c r="GB10" s="138" t="n"/>
      <c r="GC10" s="138" t="n"/>
      <c r="GD10" s="138" t="n"/>
      <c r="GE10" s="138" t="n"/>
      <c r="GF10" s="138" t="n"/>
      <c r="GG10" s="138" t="n"/>
      <c r="GH10" s="138" t="n"/>
      <c r="GI10" s="138" t="n"/>
      <c r="GJ10" s="138" t="n"/>
      <c r="GK10" s="138" t="n"/>
      <c r="GL10" s="138" t="n"/>
      <c r="GM10" s="138" t="n"/>
      <c r="GN10" s="138" t="n"/>
      <c r="GO10" s="138" t="n"/>
      <c r="GP10" s="138" t="n"/>
      <c r="GQ10" s="138" t="n"/>
      <c r="GR10" s="138" t="n"/>
      <c r="GS10" s="138" t="n"/>
      <c r="GT10" s="138" t="n"/>
      <c r="GU10" s="138" t="n"/>
      <c r="GV10" s="138" t="n"/>
      <c r="GW10" s="138" t="n"/>
      <c r="GX10" s="138" t="n"/>
      <c r="GY10" s="138" t="n"/>
      <c r="GZ10" s="138" t="n"/>
      <c r="HA10" s="138" t="n"/>
      <c r="HB10" s="138" t="n"/>
      <c r="HC10" s="138" t="n"/>
      <c r="HD10" s="138" t="n"/>
      <c r="HE10" s="138" t="n"/>
      <c r="HF10" s="138" t="n"/>
      <c r="HG10" s="138" t="n"/>
      <c r="HH10" s="138" t="n"/>
      <c r="HI10" s="138" t="n"/>
      <c r="HJ10" s="138" t="n"/>
      <c r="HK10" s="138" t="n"/>
      <c r="HL10" s="138" t="n"/>
      <c r="HM10" s="138" t="n"/>
      <c r="HN10" s="138" t="n"/>
      <c r="HO10" s="138" t="n"/>
      <c r="HP10" s="138" t="n"/>
      <c r="HQ10" s="138" t="n"/>
      <c r="HR10" s="138" t="n"/>
      <c r="HS10" s="138" t="n"/>
      <c r="HT10" s="138" t="n"/>
      <c r="HU10" s="138" t="n"/>
      <c r="HV10" s="138" t="n"/>
      <c r="HW10" s="138" t="n"/>
      <c r="HX10" s="138" t="n"/>
      <c r="HY10" s="138" t="n"/>
      <c r="HZ10" s="138" t="n"/>
      <c r="IA10" s="138" t="n"/>
      <c r="XEZ10" s="110" t="n"/>
      <c r="XFA10" s="110" t="n"/>
      <c r="XFB10" s="110" t="n"/>
      <c r="XFC10" s="110" t="n"/>
      <c r="XFD10" s="110" t="n"/>
    </row>
    <row r="11" ht="13.8" customFormat="1" customHeight="1" s="111">
      <c r="G11" s="116" t="n"/>
      <c r="I11" s="117" t="n"/>
      <c r="J11" s="117" t="n"/>
      <c r="K11" s="117" t="n"/>
      <c r="L11" s="117" t="n"/>
      <c r="M11" s="117" t="n"/>
      <c r="N11" s="117" t="n"/>
      <c r="O11" s="117" t="n"/>
      <c r="P11" s="117" t="n"/>
      <c r="Q11" s="117" t="n"/>
      <c r="R11" s="117" t="n"/>
      <c r="S11" s="117" t="n"/>
      <c r="T11" s="117" t="n"/>
      <c r="U11" s="117" t="n"/>
      <c r="V11" s="117" t="n"/>
      <c r="W11" s="117" t="n"/>
      <c r="X11" s="117" t="n"/>
      <c r="Y11" s="117" t="n"/>
      <c r="Z11" s="117" t="n"/>
      <c r="AA11" s="117" t="n"/>
      <c r="AB11" s="117" t="n"/>
      <c r="AC11" s="117" t="n"/>
      <c r="AD11" s="117" t="n"/>
    </row>
    <row r="12" ht="15" customFormat="1" customHeight="1" s="111">
      <c r="A12" s="139" t="n"/>
      <c r="B12" s="108" t="n"/>
      <c r="C12" s="108" t="n"/>
      <c r="D12" s="108" t="n"/>
      <c r="E12" s="140" t="n"/>
      <c r="F12" s="108" t="n"/>
      <c r="G12" s="141">
        <f>G5</f>
        <v/>
      </c>
      <c r="H12" s="110" t="n"/>
      <c r="I12" s="117" t="n"/>
      <c r="J12" s="117" t="n"/>
      <c r="K12" s="117" t="n"/>
      <c r="L12" s="117" t="n"/>
      <c r="M12" s="117" t="n"/>
      <c r="N12" s="117" t="n"/>
      <c r="O12" s="117" t="n"/>
      <c r="P12" s="117" t="n"/>
      <c r="Q12" s="117" t="n"/>
      <c r="R12" s="117" t="n"/>
      <c r="S12" s="117" t="n"/>
      <c r="T12" s="117" t="n"/>
      <c r="U12" s="117" t="n"/>
      <c r="V12" s="117" t="n"/>
      <c r="W12" s="117" t="n"/>
      <c r="X12" s="117" t="n"/>
      <c r="Y12" s="117" t="n"/>
      <c r="Z12" s="117" t="n"/>
      <c r="AA12" s="117" t="n"/>
      <c r="AB12" s="117" t="n"/>
      <c r="AC12" s="117" t="n"/>
      <c r="AD12" s="117" t="n"/>
      <c r="AE12" s="108" t="n"/>
      <c r="AF12" s="108" t="n"/>
      <c r="AG12" s="108" t="n"/>
      <c r="AH12" s="108" t="n"/>
      <c r="AI12" s="108" t="n"/>
      <c r="AJ12" s="108" t="n"/>
      <c r="AK12" s="108" t="n"/>
      <c r="AL12" s="108" t="n"/>
      <c r="AM12" s="108" t="n"/>
      <c r="AN12" s="108" t="n"/>
      <c r="AO12" s="108" t="n"/>
      <c r="AP12" s="108" t="n"/>
      <c r="AQ12" s="108" t="n"/>
      <c r="AR12" s="108" t="n"/>
      <c r="AS12" s="108" t="n"/>
      <c r="AT12" s="108" t="n"/>
      <c r="AU12" s="108" t="n"/>
      <c r="AV12" s="108" t="n"/>
      <c r="AW12" s="108" t="n"/>
      <c r="AX12" s="108" t="n"/>
      <c r="AY12" s="108" t="n"/>
      <c r="AZ12" s="108" t="n"/>
      <c r="BA12" s="108" t="n"/>
      <c r="BB12" s="108" t="n"/>
      <c r="BC12" s="108" t="n"/>
      <c r="BD12" s="108" t="n"/>
      <c r="BE12" s="108" t="n"/>
      <c r="BF12" s="108" t="n"/>
      <c r="BG12" s="108" t="n"/>
      <c r="BH12" s="108" t="n"/>
      <c r="BI12" s="108" t="n"/>
      <c r="BJ12" s="108" t="n"/>
      <c r="BK12" s="108" t="n"/>
      <c r="BL12" s="108" t="n"/>
      <c r="BM12" s="108" t="n"/>
      <c r="BN12" s="108" t="n"/>
      <c r="BO12" s="108" t="n"/>
      <c r="BP12" s="108" t="n"/>
      <c r="BQ12" s="108" t="n"/>
      <c r="BR12" s="108" t="n"/>
      <c r="BS12" s="108" t="n"/>
      <c r="BT12" s="108" t="n"/>
      <c r="BU12" s="108" t="n"/>
      <c r="BV12" s="108" t="n"/>
      <c r="BW12" s="108" t="n"/>
      <c r="BX12" s="108" t="n"/>
      <c r="BY12" s="108" t="n"/>
      <c r="BZ12" s="108" t="n"/>
      <c r="CA12" s="108" t="n"/>
      <c r="CB12" s="108" t="n"/>
      <c r="CC12" s="108" t="n"/>
      <c r="CD12" s="108" t="n"/>
      <c r="CE12" s="108" t="n"/>
      <c r="CF12" s="108" t="n"/>
      <c r="CG12" s="108" t="n"/>
      <c r="CH12" s="108" t="n"/>
      <c r="CI12" s="108" t="n"/>
      <c r="CJ12" s="108" t="n"/>
      <c r="CK12" s="108" t="n"/>
      <c r="CL12" s="108" t="n"/>
      <c r="CM12" s="108" t="n"/>
      <c r="CN12" s="108" t="n"/>
      <c r="CO12" s="108" t="n"/>
      <c r="CP12" s="108" t="n"/>
      <c r="CQ12" s="108" t="n"/>
      <c r="CR12" s="108" t="n"/>
      <c r="CS12" s="108" t="n"/>
      <c r="CT12" s="108" t="n"/>
      <c r="CU12" s="108" t="n"/>
      <c r="CV12" s="108" t="n"/>
      <c r="CW12" s="108" t="n"/>
      <c r="CX12" s="108" t="n"/>
      <c r="CY12" s="108" t="n"/>
      <c r="CZ12" s="108" t="n"/>
      <c r="DA12" s="108" t="n"/>
      <c r="DB12" s="108" t="n"/>
      <c r="DC12" s="108" t="n"/>
      <c r="DD12" s="108" t="n"/>
      <c r="DE12" s="108" t="n"/>
      <c r="DF12" s="108" t="n"/>
      <c r="DG12" s="108" t="n"/>
      <c r="DH12" s="108" t="n"/>
      <c r="DI12" s="108" t="n"/>
      <c r="DJ12" s="108" t="n"/>
      <c r="DK12" s="108" t="n"/>
      <c r="DL12" s="108" t="n"/>
      <c r="DM12" s="108" t="n"/>
      <c r="DN12" s="108" t="n"/>
      <c r="DO12" s="108" t="n"/>
      <c r="DP12" s="108" t="n"/>
      <c r="DQ12" s="108" t="n"/>
      <c r="DR12" s="108" t="n"/>
      <c r="DS12" s="108" t="n"/>
      <c r="DT12" s="108" t="n"/>
      <c r="DU12" s="108" t="n"/>
      <c r="DV12" s="108" t="n"/>
      <c r="DW12" s="108" t="n"/>
      <c r="DX12" s="108" t="n"/>
      <c r="DY12" s="108" t="n"/>
      <c r="DZ12" s="108" t="n"/>
      <c r="EA12" s="108" t="n"/>
      <c r="EB12" s="108" t="n"/>
      <c r="EC12" s="108" t="n"/>
      <c r="ED12" s="108" t="n"/>
      <c r="EE12" s="108" t="n"/>
      <c r="EF12" s="108" t="n"/>
      <c r="EG12" s="108" t="n"/>
      <c r="EH12" s="108" t="n"/>
      <c r="EI12" s="108" t="n"/>
      <c r="EJ12" s="108" t="n"/>
      <c r="EK12" s="108" t="n"/>
      <c r="EL12" s="108" t="n"/>
      <c r="EM12" s="108" t="n"/>
      <c r="EN12" s="108" t="n"/>
      <c r="EO12" s="108" t="n"/>
      <c r="EP12" s="108" t="n"/>
      <c r="EQ12" s="108" t="n"/>
      <c r="ER12" s="108" t="n"/>
      <c r="ES12" s="108" t="n"/>
      <c r="ET12" s="108" t="n"/>
      <c r="EU12" s="108" t="n"/>
      <c r="EV12" s="108" t="n"/>
      <c r="EW12" s="108" t="n"/>
      <c r="EX12" s="108" t="n"/>
      <c r="EY12" s="108" t="n"/>
      <c r="EZ12" s="108" t="n"/>
      <c r="FA12" s="108" t="n"/>
      <c r="FB12" s="108" t="n"/>
      <c r="FC12" s="108" t="n"/>
      <c r="FD12" s="108" t="n"/>
      <c r="FE12" s="108" t="n"/>
      <c r="FF12" s="108" t="n"/>
      <c r="FG12" s="108" t="n"/>
      <c r="FH12" s="108" t="n"/>
      <c r="FI12" s="108" t="n"/>
      <c r="FJ12" s="108" t="n"/>
      <c r="FK12" s="108" t="n"/>
      <c r="FL12" s="108" t="n"/>
      <c r="FM12" s="108" t="n"/>
      <c r="FN12" s="108" t="n"/>
      <c r="FO12" s="108" t="n"/>
      <c r="FP12" s="108" t="n"/>
      <c r="FQ12" s="108" t="n"/>
      <c r="FR12" s="108" t="n"/>
      <c r="FS12" s="108" t="n"/>
      <c r="FT12" s="108" t="n"/>
      <c r="FU12" s="108" t="n"/>
      <c r="FV12" s="108" t="n"/>
      <c r="FW12" s="108" t="n"/>
      <c r="FX12" s="108" t="n"/>
      <c r="FY12" s="108" t="n"/>
      <c r="FZ12" s="108" t="n"/>
      <c r="GA12" s="108" t="n"/>
      <c r="GB12" s="108" t="n"/>
      <c r="GC12" s="108" t="n"/>
      <c r="GD12" s="108" t="n"/>
      <c r="GE12" s="108" t="n"/>
      <c r="GF12" s="108" t="n"/>
      <c r="GG12" s="108" t="n"/>
      <c r="GH12" s="108" t="n"/>
      <c r="GI12" s="108" t="n"/>
      <c r="GJ12" s="108" t="n"/>
      <c r="GK12" s="108" t="n"/>
      <c r="GL12" s="108" t="n"/>
      <c r="GM12" s="108" t="n"/>
      <c r="GN12" s="108" t="n"/>
      <c r="GO12" s="108" t="n"/>
      <c r="GP12" s="108" t="n"/>
      <c r="GQ12" s="108" t="n"/>
      <c r="GR12" s="108" t="n"/>
      <c r="GS12" s="108" t="n"/>
      <c r="GT12" s="108" t="n"/>
      <c r="GU12" s="108" t="n"/>
      <c r="GV12" s="108" t="n"/>
      <c r="GW12" s="108" t="n"/>
      <c r="GX12" s="108" t="n"/>
      <c r="GY12" s="108" t="n"/>
      <c r="GZ12" s="108" t="n"/>
      <c r="HA12" s="108" t="n"/>
      <c r="HB12" s="108" t="n"/>
      <c r="HC12" s="108" t="n"/>
      <c r="HD12" s="108" t="n"/>
      <c r="HE12" s="108" t="n"/>
      <c r="HF12" s="108" t="n"/>
      <c r="HG12" s="108" t="n"/>
      <c r="HH12" s="108" t="n"/>
      <c r="HI12" s="108" t="n"/>
      <c r="HJ12" s="108" t="n"/>
      <c r="HK12" s="108" t="n"/>
      <c r="HL12" s="108" t="n"/>
      <c r="HM12" s="108" t="n"/>
      <c r="HN12" s="108" t="n"/>
      <c r="HO12" s="108" t="n"/>
      <c r="HP12" s="108" t="n"/>
      <c r="HQ12" s="108" t="n"/>
      <c r="HR12" s="108" t="n"/>
      <c r="HS12" s="108" t="n"/>
      <c r="HT12" s="108" t="n"/>
      <c r="HU12" s="108" t="n"/>
      <c r="HV12" s="108" t="n"/>
      <c r="HW12" s="108" t="n"/>
      <c r="HX12" s="108" t="n"/>
      <c r="HY12" s="108" t="n"/>
      <c r="HZ12" s="108" t="n"/>
      <c r="IA12" s="108" t="n"/>
      <c r="XEZ12" s="110" t="n"/>
      <c r="XFA12" s="110" t="n"/>
      <c r="XFB12" s="110" t="n"/>
      <c r="XFC12" s="110" t="n"/>
      <c r="XFD12" s="110" t="n"/>
    </row>
    <row r="13" ht="15" customFormat="1" customHeight="1" s="111">
      <c r="A13" s="108" t="n"/>
      <c r="B13" s="108" t="n"/>
      <c r="C13" s="108" t="n"/>
      <c r="D13" s="142" t="n"/>
      <c r="E13" s="143" t="inlineStr">
        <is>
          <t>No. of companies</t>
        </is>
      </c>
      <c r="F13" s="144" t="n"/>
      <c r="G13" s="143">
        <f>COUNT(G6:G8)</f>
        <v/>
      </c>
      <c r="H13" s="110" t="n"/>
      <c r="I13" s="117" t="n"/>
      <c r="J13" s="117" t="n"/>
      <c r="K13" s="117" t="n"/>
      <c r="L13" s="117" t="n"/>
      <c r="M13" s="117" t="n"/>
      <c r="N13" s="117" t="n"/>
      <c r="O13" s="117" t="n"/>
      <c r="P13" s="117" t="n"/>
      <c r="Q13" s="117" t="n"/>
      <c r="R13" s="117" t="n"/>
      <c r="S13" s="117" t="n"/>
      <c r="T13" s="117" t="n"/>
      <c r="U13" s="117" t="n"/>
      <c r="V13" s="117" t="n"/>
      <c r="W13" s="117" t="n"/>
      <c r="X13" s="117" t="n"/>
      <c r="Y13" s="117" t="n"/>
      <c r="Z13" s="117" t="n"/>
      <c r="AA13" s="117" t="n"/>
      <c r="AB13" s="117" t="n"/>
      <c r="AC13" s="117" t="n"/>
      <c r="AD13" s="117" t="n"/>
      <c r="AE13" s="108" t="n"/>
      <c r="AF13" s="108" t="n"/>
      <c r="AG13" s="108" t="n"/>
      <c r="AH13" s="108" t="n"/>
      <c r="AI13" s="108" t="n"/>
      <c r="AJ13" s="108" t="n"/>
      <c r="AK13" s="108" t="n"/>
      <c r="AL13" s="108" t="n"/>
      <c r="AM13" s="108" t="n"/>
      <c r="AN13" s="108" t="n"/>
      <c r="AO13" s="108" t="n"/>
      <c r="AP13" s="108" t="n"/>
      <c r="AQ13" s="108" t="n"/>
      <c r="AR13" s="108" t="n"/>
      <c r="AS13" s="108" t="n"/>
      <c r="AT13" s="108" t="n"/>
      <c r="AU13" s="108" t="n"/>
      <c r="AV13" s="108" t="n"/>
      <c r="AW13" s="108" t="n"/>
      <c r="AX13" s="108" t="n"/>
      <c r="AY13" s="108" t="n"/>
      <c r="AZ13" s="108" t="n"/>
      <c r="BA13" s="108" t="n"/>
      <c r="BB13" s="108" t="n"/>
      <c r="BC13" s="108" t="n"/>
      <c r="BD13" s="108" t="n"/>
      <c r="BE13" s="108" t="n"/>
      <c r="BF13" s="108" t="n"/>
      <c r="BG13" s="108" t="n"/>
      <c r="BH13" s="108" t="n"/>
      <c r="BI13" s="108" t="n"/>
      <c r="BJ13" s="108" t="n"/>
      <c r="BK13" s="108" t="n"/>
      <c r="BL13" s="108" t="n"/>
      <c r="BM13" s="108" t="n"/>
      <c r="BN13" s="108" t="n"/>
      <c r="BO13" s="108" t="n"/>
      <c r="BP13" s="108" t="n"/>
      <c r="BQ13" s="108" t="n"/>
      <c r="BR13" s="108" t="n"/>
      <c r="BS13" s="108" t="n"/>
      <c r="BT13" s="108" t="n"/>
      <c r="BU13" s="108" t="n"/>
      <c r="BV13" s="108" t="n"/>
      <c r="BW13" s="108" t="n"/>
      <c r="BX13" s="108" t="n"/>
      <c r="BY13" s="108" t="n"/>
      <c r="BZ13" s="108" t="n"/>
      <c r="CA13" s="108" t="n"/>
      <c r="CB13" s="108" t="n"/>
      <c r="CC13" s="108" t="n"/>
      <c r="CD13" s="108" t="n"/>
      <c r="CE13" s="108" t="n"/>
      <c r="CF13" s="108" t="n"/>
      <c r="CG13" s="108" t="n"/>
      <c r="CH13" s="108" t="n"/>
      <c r="CI13" s="108" t="n"/>
      <c r="CJ13" s="108" t="n"/>
      <c r="CK13" s="108" t="n"/>
      <c r="CL13" s="108" t="n"/>
      <c r="CM13" s="108" t="n"/>
      <c r="CN13" s="108" t="n"/>
      <c r="CO13" s="108" t="n"/>
      <c r="CP13" s="108" t="n"/>
      <c r="CQ13" s="108" t="n"/>
      <c r="CR13" s="108" t="n"/>
      <c r="CS13" s="108" t="n"/>
      <c r="CT13" s="108" t="n"/>
      <c r="CU13" s="108" t="n"/>
      <c r="CV13" s="108" t="n"/>
      <c r="CW13" s="108" t="n"/>
      <c r="CX13" s="108" t="n"/>
      <c r="CY13" s="108" t="n"/>
      <c r="CZ13" s="108" t="n"/>
      <c r="DA13" s="108" t="n"/>
      <c r="DB13" s="108" t="n"/>
      <c r="DC13" s="108" t="n"/>
      <c r="DD13" s="108" t="n"/>
      <c r="DE13" s="108" t="n"/>
      <c r="DF13" s="108" t="n"/>
      <c r="DG13" s="108" t="n"/>
      <c r="DH13" s="108" t="n"/>
      <c r="DI13" s="108" t="n"/>
      <c r="DJ13" s="108" t="n"/>
      <c r="DK13" s="108" t="n"/>
      <c r="DL13" s="108" t="n"/>
      <c r="DM13" s="108" t="n"/>
      <c r="DN13" s="108" t="n"/>
      <c r="DO13" s="108" t="n"/>
      <c r="DP13" s="108" t="n"/>
      <c r="DQ13" s="108" t="n"/>
      <c r="DR13" s="108" t="n"/>
      <c r="DS13" s="108" t="n"/>
      <c r="DT13" s="108" t="n"/>
      <c r="DU13" s="108" t="n"/>
      <c r="DV13" s="108" t="n"/>
      <c r="DW13" s="108" t="n"/>
      <c r="DX13" s="108" t="n"/>
      <c r="DY13" s="108" t="n"/>
      <c r="DZ13" s="108" t="n"/>
      <c r="EA13" s="108" t="n"/>
      <c r="EB13" s="108" t="n"/>
      <c r="EC13" s="108" t="n"/>
      <c r="ED13" s="108" t="n"/>
      <c r="EE13" s="108" t="n"/>
      <c r="EF13" s="108" t="n"/>
      <c r="EG13" s="108" t="n"/>
      <c r="EH13" s="108" t="n"/>
      <c r="EI13" s="108" t="n"/>
      <c r="EJ13" s="108" t="n"/>
      <c r="EK13" s="108" t="n"/>
      <c r="EL13" s="108" t="n"/>
      <c r="EM13" s="108" t="n"/>
      <c r="EN13" s="108" t="n"/>
      <c r="EO13" s="108" t="n"/>
      <c r="EP13" s="108" t="n"/>
      <c r="EQ13" s="108" t="n"/>
      <c r="ER13" s="108" t="n"/>
      <c r="ES13" s="108" t="n"/>
      <c r="ET13" s="108" t="n"/>
      <c r="EU13" s="108" t="n"/>
      <c r="EV13" s="108" t="n"/>
      <c r="EW13" s="108" t="n"/>
      <c r="EX13" s="108" t="n"/>
      <c r="EY13" s="108" t="n"/>
      <c r="EZ13" s="108" t="n"/>
      <c r="FA13" s="108" t="n"/>
      <c r="FB13" s="108" t="n"/>
      <c r="FC13" s="108" t="n"/>
      <c r="FD13" s="108" t="n"/>
      <c r="FE13" s="108" t="n"/>
      <c r="FF13" s="108" t="n"/>
      <c r="FG13" s="108" t="n"/>
      <c r="FH13" s="108" t="n"/>
      <c r="FI13" s="108" t="n"/>
      <c r="FJ13" s="108" t="n"/>
      <c r="FK13" s="108" t="n"/>
      <c r="FL13" s="108" t="n"/>
      <c r="FM13" s="108" t="n"/>
      <c r="FN13" s="108" t="n"/>
      <c r="FO13" s="108" t="n"/>
      <c r="FP13" s="108" t="n"/>
      <c r="FQ13" s="108" t="n"/>
      <c r="FR13" s="108" t="n"/>
      <c r="FS13" s="108" t="n"/>
      <c r="FT13" s="108" t="n"/>
      <c r="FU13" s="108" t="n"/>
      <c r="FV13" s="108" t="n"/>
      <c r="FW13" s="108" t="n"/>
      <c r="FX13" s="108" t="n"/>
      <c r="FY13" s="108" t="n"/>
      <c r="FZ13" s="108" t="n"/>
      <c r="GA13" s="108" t="n"/>
      <c r="GB13" s="108" t="n"/>
      <c r="GC13" s="108" t="n"/>
      <c r="GD13" s="108" t="n"/>
      <c r="GE13" s="108" t="n"/>
      <c r="GF13" s="108" t="n"/>
      <c r="GG13" s="108" t="n"/>
      <c r="GH13" s="108" t="n"/>
      <c r="GI13" s="108" t="n"/>
      <c r="GJ13" s="108" t="n"/>
      <c r="GK13" s="108" t="n"/>
      <c r="GL13" s="108" t="n"/>
      <c r="GM13" s="108" t="n"/>
      <c r="GN13" s="108" t="n"/>
      <c r="GO13" s="108" t="n"/>
      <c r="GP13" s="108" t="n"/>
      <c r="GQ13" s="108" t="n"/>
      <c r="GR13" s="108" t="n"/>
      <c r="GS13" s="108" t="n"/>
      <c r="GT13" s="108" t="n"/>
      <c r="GU13" s="108" t="n"/>
      <c r="GV13" s="108" t="n"/>
      <c r="GW13" s="108" t="n"/>
      <c r="GX13" s="108" t="n"/>
      <c r="GY13" s="108" t="n"/>
      <c r="GZ13" s="108" t="n"/>
      <c r="HA13" s="108" t="n"/>
      <c r="HB13" s="108" t="n"/>
      <c r="HC13" s="108" t="n"/>
      <c r="HD13" s="108" t="n"/>
      <c r="HE13" s="108" t="n"/>
      <c r="HF13" s="108" t="n"/>
      <c r="HG13" s="108" t="n"/>
      <c r="HH13" s="108" t="n"/>
      <c r="HI13" s="108" t="n"/>
      <c r="HJ13" s="108" t="n"/>
      <c r="HK13" s="108" t="n"/>
      <c r="HL13" s="108" t="n"/>
      <c r="HM13" s="108" t="n"/>
      <c r="HN13" s="108" t="n"/>
      <c r="HO13" s="108" t="n"/>
      <c r="HP13" s="108" t="n"/>
      <c r="HQ13" s="108" t="n"/>
      <c r="HR13" s="108" t="n"/>
      <c r="HS13" s="108" t="n"/>
      <c r="HT13" s="108" t="n"/>
      <c r="HU13" s="108" t="n"/>
      <c r="HV13" s="108" t="n"/>
      <c r="HW13" s="108" t="n"/>
      <c r="HX13" s="108" t="n"/>
      <c r="HY13" s="108" t="n"/>
      <c r="HZ13" s="108" t="n"/>
      <c r="IA13" s="108" t="n"/>
      <c r="XEZ13" s="110" t="n"/>
      <c r="XFA13" s="110" t="n"/>
      <c r="XFB13" s="110" t="n"/>
      <c r="XFC13" s="110" t="n"/>
      <c r="XFD13" s="110" t="n"/>
    </row>
    <row r="14" ht="15" customFormat="1" customHeight="1" s="111">
      <c r="A14" s="108" t="n"/>
      <c r="B14" s="108" t="n"/>
      <c r="C14" s="108" t="n"/>
      <c r="D14" s="142" t="n"/>
      <c r="E14" s="143" t="inlineStr">
        <is>
          <t>Maximum</t>
        </is>
      </c>
      <c r="F14" s="144" t="n"/>
      <c r="G14" s="145">
        <f>MAX(G6:G8)</f>
        <v/>
      </c>
      <c r="H14" s="110" t="n"/>
      <c r="I14" s="117" t="n"/>
      <c r="J14" s="117" t="n"/>
      <c r="K14" s="117" t="n"/>
      <c r="L14" s="117" t="n"/>
      <c r="M14" s="117" t="n"/>
      <c r="N14" s="117" t="n"/>
      <c r="O14" s="117" t="n"/>
      <c r="P14" s="117" t="n"/>
      <c r="Q14" s="117" t="n"/>
      <c r="R14" s="117" t="n"/>
      <c r="S14" s="117" t="n"/>
      <c r="T14" s="117" t="n"/>
      <c r="U14" s="117" t="n"/>
      <c r="V14" s="117" t="n"/>
      <c r="W14" s="117" t="n"/>
      <c r="X14" s="117" t="n"/>
      <c r="Y14" s="117" t="n"/>
      <c r="Z14" s="117" t="n"/>
      <c r="AA14" s="117" t="n"/>
      <c r="AB14" s="117" t="n"/>
      <c r="AC14" s="117" t="n"/>
      <c r="AD14" s="117" t="n"/>
      <c r="AE14" s="108" t="n"/>
      <c r="AF14" s="108" t="n"/>
      <c r="AG14" s="108" t="n"/>
      <c r="AH14" s="108" t="n"/>
      <c r="AI14" s="108" t="n"/>
      <c r="AJ14" s="108" t="n"/>
      <c r="AK14" s="108" t="n"/>
      <c r="AL14" s="108" t="n"/>
      <c r="AM14" s="108" t="n"/>
      <c r="AN14" s="108" t="n"/>
      <c r="AO14" s="108" t="n"/>
      <c r="AP14" s="108" t="n"/>
      <c r="AQ14" s="108" t="n"/>
      <c r="AR14" s="108" t="n"/>
      <c r="AS14" s="108" t="n"/>
      <c r="AT14" s="108" t="n"/>
      <c r="AU14" s="108" t="n"/>
      <c r="AV14" s="108" t="n"/>
      <c r="AW14" s="108" t="n"/>
      <c r="AX14" s="108" t="n"/>
      <c r="AY14" s="108" t="n"/>
      <c r="AZ14" s="108" t="n"/>
      <c r="BA14" s="108" t="n"/>
      <c r="BB14" s="108" t="n"/>
      <c r="BC14" s="108" t="n"/>
      <c r="BD14" s="108" t="n"/>
      <c r="BE14" s="108" t="n"/>
      <c r="BF14" s="108" t="n"/>
      <c r="BG14" s="108" t="n"/>
      <c r="BH14" s="108" t="n"/>
      <c r="BI14" s="108" t="n"/>
      <c r="BJ14" s="108" t="n"/>
      <c r="BK14" s="108" t="n"/>
      <c r="BL14" s="108" t="n"/>
      <c r="BM14" s="108" t="n"/>
      <c r="BN14" s="108" t="n"/>
      <c r="BO14" s="108" t="n"/>
      <c r="BP14" s="108" t="n"/>
      <c r="BQ14" s="108" t="n"/>
      <c r="BR14" s="108" t="n"/>
      <c r="BS14" s="108" t="n"/>
      <c r="BT14" s="108" t="n"/>
      <c r="BU14" s="108" t="n"/>
      <c r="BV14" s="108" t="n"/>
      <c r="BW14" s="108" t="n"/>
      <c r="BX14" s="108" t="n"/>
      <c r="BY14" s="108" t="n"/>
      <c r="BZ14" s="108" t="n"/>
      <c r="CA14" s="108" t="n"/>
      <c r="CB14" s="108" t="n"/>
      <c r="CC14" s="108" t="n"/>
      <c r="CD14" s="108" t="n"/>
      <c r="CE14" s="108" t="n"/>
      <c r="CF14" s="108" t="n"/>
      <c r="CG14" s="108" t="n"/>
      <c r="CH14" s="108" t="n"/>
      <c r="CI14" s="108" t="n"/>
      <c r="CJ14" s="108" t="n"/>
      <c r="CK14" s="108" t="n"/>
      <c r="CL14" s="108" t="n"/>
      <c r="CM14" s="108" t="n"/>
      <c r="CN14" s="108" t="n"/>
      <c r="CO14" s="108" t="n"/>
      <c r="CP14" s="108" t="n"/>
      <c r="CQ14" s="108" t="n"/>
      <c r="CR14" s="108" t="n"/>
      <c r="CS14" s="108" t="n"/>
      <c r="CT14" s="108" t="n"/>
      <c r="CU14" s="108" t="n"/>
      <c r="CV14" s="108" t="n"/>
      <c r="CW14" s="108" t="n"/>
      <c r="CX14" s="108" t="n"/>
      <c r="CY14" s="108" t="n"/>
      <c r="CZ14" s="108" t="n"/>
      <c r="DA14" s="108" t="n"/>
      <c r="DB14" s="108" t="n"/>
      <c r="DC14" s="108" t="n"/>
      <c r="DD14" s="108" t="n"/>
      <c r="DE14" s="108" t="n"/>
      <c r="DF14" s="108" t="n"/>
      <c r="DG14" s="108" t="n"/>
      <c r="DH14" s="108" t="n"/>
      <c r="DI14" s="108" t="n"/>
      <c r="DJ14" s="108" t="n"/>
      <c r="DK14" s="108" t="n"/>
      <c r="DL14" s="108" t="n"/>
      <c r="DM14" s="108" t="n"/>
      <c r="DN14" s="108" t="n"/>
      <c r="DO14" s="108" t="n"/>
      <c r="DP14" s="108" t="n"/>
      <c r="DQ14" s="108" t="n"/>
      <c r="DR14" s="108" t="n"/>
      <c r="DS14" s="108" t="n"/>
      <c r="DT14" s="108" t="n"/>
      <c r="DU14" s="108" t="n"/>
      <c r="DV14" s="108" t="n"/>
      <c r="DW14" s="108" t="n"/>
      <c r="DX14" s="108" t="n"/>
      <c r="DY14" s="108" t="n"/>
      <c r="DZ14" s="108" t="n"/>
      <c r="EA14" s="108" t="n"/>
      <c r="EB14" s="108" t="n"/>
      <c r="EC14" s="108" t="n"/>
      <c r="ED14" s="108" t="n"/>
      <c r="EE14" s="108" t="n"/>
      <c r="EF14" s="108" t="n"/>
      <c r="EG14" s="108" t="n"/>
      <c r="EH14" s="108" t="n"/>
      <c r="EI14" s="108" t="n"/>
      <c r="EJ14" s="108" t="n"/>
      <c r="EK14" s="108" t="n"/>
      <c r="EL14" s="108" t="n"/>
      <c r="EM14" s="108" t="n"/>
      <c r="EN14" s="108" t="n"/>
      <c r="EO14" s="108" t="n"/>
      <c r="EP14" s="108" t="n"/>
      <c r="EQ14" s="108" t="n"/>
      <c r="ER14" s="108" t="n"/>
      <c r="ES14" s="108" t="n"/>
      <c r="ET14" s="108" t="n"/>
      <c r="EU14" s="108" t="n"/>
      <c r="EV14" s="108" t="n"/>
      <c r="EW14" s="108" t="n"/>
      <c r="EX14" s="108" t="n"/>
      <c r="EY14" s="108" t="n"/>
      <c r="EZ14" s="108" t="n"/>
      <c r="FA14" s="108" t="n"/>
      <c r="FB14" s="108" t="n"/>
      <c r="FC14" s="108" t="n"/>
      <c r="FD14" s="108" t="n"/>
      <c r="FE14" s="108" t="n"/>
      <c r="FF14" s="108" t="n"/>
      <c r="FG14" s="108" t="n"/>
      <c r="FH14" s="108" t="n"/>
      <c r="FI14" s="108" t="n"/>
      <c r="FJ14" s="108" t="n"/>
      <c r="FK14" s="108" t="n"/>
      <c r="FL14" s="108" t="n"/>
      <c r="FM14" s="108" t="n"/>
      <c r="FN14" s="108" t="n"/>
      <c r="FO14" s="108" t="n"/>
      <c r="FP14" s="108" t="n"/>
      <c r="FQ14" s="108" t="n"/>
      <c r="FR14" s="108" t="n"/>
      <c r="FS14" s="108" t="n"/>
      <c r="FT14" s="108" t="n"/>
      <c r="FU14" s="108" t="n"/>
      <c r="FV14" s="108" t="n"/>
      <c r="FW14" s="108" t="n"/>
      <c r="FX14" s="108" t="n"/>
      <c r="FY14" s="108" t="n"/>
      <c r="FZ14" s="108" t="n"/>
      <c r="GA14" s="108" t="n"/>
      <c r="GB14" s="108" t="n"/>
      <c r="GC14" s="108" t="n"/>
      <c r="GD14" s="108" t="n"/>
      <c r="GE14" s="108" t="n"/>
      <c r="GF14" s="108" t="n"/>
      <c r="GG14" s="108" t="n"/>
      <c r="GH14" s="108" t="n"/>
      <c r="GI14" s="108" t="n"/>
      <c r="GJ14" s="108" t="n"/>
      <c r="GK14" s="108" t="n"/>
      <c r="GL14" s="108" t="n"/>
      <c r="GM14" s="108" t="n"/>
      <c r="GN14" s="108" t="n"/>
      <c r="GO14" s="108" t="n"/>
      <c r="GP14" s="108" t="n"/>
      <c r="GQ14" s="108" t="n"/>
      <c r="GR14" s="108" t="n"/>
      <c r="GS14" s="108" t="n"/>
      <c r="GT14" s="108" t="n"/>
      <c r="GU14" s="108" t="n"/>
      <c r="GV14" s="108" t="n"/>
      <c r="GW14" s="108" t="n"/>
      <c r="GX14" s="108" t="n"/>
      <c r="GY14" s="108" t="n"/>
      <c r="GZ14" s="108" t="n"/>
      <c r="HA14" s="108" t="n"/>
      <c r="HB14" s="108" t="n"/>
      <c r="HC14" s="108" t="n"/>
      <c r="HD14" s="108" t="n"/>
      <c r="HE14" s="108" t="n"/>
      <c r="HF14" s="108" t="n"/>
      <c r="HG14" s="108" t="n"/>
      <c r="HH14" s="108" t="n"/>
      <c r="HI14" s="108" t="n"/>
      <c r="HJ14" s="108" t="n"/>
      <c r="HK14" s="108" t="n"/>
      <c r="HL14" s="108" t="n"/>
      <c r="HM14" s="108" t="n"/>
      <c r="HN14" s="108" t="n"/>
      <c r="HO14" s="108" t="n"/>
      <c r="HP14" s="108" t="n"/>
      <c r="HQ14" s="108" t="n"/>
      <c r="HR14" s="108" t="n"/>
      <c r="HS14" s="108" t="n"/>
      <c r="HT14" s="108" t="n"/>
      <c r="HU14" s="108" t="n"/>
      <c r="HV14" s="108" t="n"/>
      <c r="HW14" s="108" t="n"/>
      <c r="HX14" s="108" t="n"/>
      <c r="HY14" s="108" t="n"/>
      <c r="HZ14" s="108" t="n"/>
      <c r="IA14" s="108" t="n"/>
      <c r="XEZ14" s="110" t="n"/>
      <c r="XFA14" s="110" t="n"/>
      <c r="XFB14" s="110" t="n"/>
      <c r="XFC14" s="110" t="n"/>
      <c r="XFD14" s="110" t="n"/>
    </row>
    <row r="15" ht="15" customFormat="1" customHeight="1" s="111">
      <c r="A15" s="108" t="n"/>
      <c r="B15" s="108" t="n"/>
      <c r="C15" s="108" t="n"/>
      <c r="D15" s="142" t="n"/>
      <c r="E15" s="143" t="inlineStr">
        <is>
          <t>Upper Decile</t>
        </is>
      </c>
      <c r="F15" s="144" t="n"/>
      <c r="G15" s="145">
        <f>PERCENTILE(G6:G8,0.9)</f>
        <v/>
      </c>
      <c r="H15" s="110" t="n"/>
      <c r="I15" s="117" t="n"/>
      <c r="J15" s="117" t="n"/>
      <c r="K15" s="117" t="n"/>
      <c r="L15" s="117" t="n"/>
      <c r="M15" s="117" t="n"/>
      <c r="N15" s="117" t="n"/>
      <c r="O15" s="117" t="n"/>
      <c r="P15" s="117" t="n"/>
      <c r="Q15" s="117" t="n"/>
      <c r="R15" s="117" t="n"/>
      <c r="S15" s="117" t="n"/>
      <c r="T15" s="117" t="n"/>
      <c r="U15" s="117" t="n"/>
      <c r="V15" s="117" t="n"/>
      <c r="W15" s="117" t="n"/>
      <c r="X15" s="117" t="n"/>
      <c r="Y15" s="117" t="n"/>
      <c r="Z15" s="117" t="n"/>
      <c r="AA15" s="117" t="n"/>
      <c r="AB15" s="117" t="n"/>
      <c r="AC15" s="117" t="n"/>
      <c r="AD15" s="117" t="n"/>
      <c r="AE15" s="108" t="n"/>
      <c r="AF15" s="108" t="n"/>
      <c r="AG15" s="108" t="n"/>
      <c r="AH15" s="108" t="n"/>
      <c r="AI15" s="108" t="n"/>
      <c r="AJ15" s="108" t="n"/>
      <c r="AK15" s="108" t="n"/>
      <c r="AL15" s="108" t="n"/>
      <c r="AM15" s="108" t="n"/>
      <c r="AN15" s="108" t="n"/>
      <c r="AO15" s="108" t="n"/>
      <c r="AP15" s="108" t="n"/>
      <c r="AQ15" s="108" t="n"/>
      <c r="AR15" s="108" t="n"/>
      <c r="AS15" s="108" t="n"/>
      <c r="AT15" s="108" t="n"/>
      <c r="AU15" s="108" t="n"/>
      <c r="AV15" s="108" t="n"/>
      <c r="AW15" s="108" t="n"/>
      <c r="AX15" s="108" t="n"/>
      <c r="AY15" s="108" t="n"/>
      <c r="AZ15" s="108" t="n"/>
      <c r="BA15" s="108" t="n"/>
      <c r="BB15" s="108" t="n"/>
      <c r="BC15" s="108" t="n"/>
      <c r="BD15" s="108" t="n"/>
      <c r="BE15" s="108" t="n"/>
      <c r="BF15" s="108" t="n"/>
      <c r="BG15" s="108" t="n"/>
      <c r="BH15" s="108" t="n"/>
      <c r="BI15" s="108" t="n"/>
      <c r="BJ15" s="108" t="n"/>
      <c r="BK15" s="108" t="n"/>
      <c r="BL15" s="108" t="n"/>
      <c r="BM15" s="108" t="n"/>
      <c r="BN15" s="108" t="n"/>
      <c r="BO15" s="108" t="n"/>
      <c r="BP15" s="108" t="n"/>
      <c r="BQ15" s="108" t="n"/>
      <c r="BR15" s="108" t="n"/>
      <c r="BS15" s="108" t="n"/>
      <c r="BT15" s="108" t="n"/>
      <c r="BU15" s="108" t="n"/>
      <c r="BV15" s="108" t="n"/>
      <c r="BW15" s="108" t="n"/>
      <c r="BX15" s="108" t="n"/>
      <c r="BY15" s="108" t="n"/>
      <c r="BZ15" s="108" t="n"/>
      <c r="CA15" s="108" t="n"/>
      <c r="CB15" s="108" t="n"/>
      <c r="CC15" s="108" t="n"/>
      <c r="CD15" s="108" t="n"/>
      <c r="CE15" s="108" t="n"/>
      <c r="CF15" s="108" t="n"/>
      <c r="CG15" s="108" t="n"/>
      <c r="CH15" s="108" t="n"/>
      <c r="CI15" s="108" t="n"/>
      <c r="CJ15" s="108" t="n"/>
      <c r="CK15" s="108" t="n"/>
      <c r="CL15" s="108" t="n"/>
      <c r="CM15" s="108" t="n"/>
      <c r="CN15" s="108" t="n"/>
      <c r="CO15" s="108" t="n"/>
      <c r="CP15" s="108" t="n"/>
      <c r="CQ15" s="108" t="n"/>
      <c r="CR15" s="108" t="n"/>
      <c r="CS15" s="108" t="n"/>
      <c r="CT15" s="108" t="n"/>
      <c r="CU15" s="108" t="n"/>
      <c r="CV15" s="108" t="n"/>
      <c r="CW15" s="108" t="n"/>
      <c r="CX15" s="108" t="n"/>
      <c r="CY15" s="108" t="n"/>
      <c r="CZ15" s="108" t="n"/>
      <c r="DA15" s="108" t="n"/>
      <c r="DB15" s="108" t="n"/>
      <c r="DC15" s="108" t="n"/>
      <c r="DD15" s="108" t="n"/>
      <c r="DE15" s="108" t="n"/>
      <c r="DF15" s="108" t="n"/>
      <c r="DG15" s="108" t="n"/>
      <c r="DH15" s="108" t="n"/>
      <c r="DI15" s="108" t="n"/>
      <c r="DJ15" s="108" t="n"/>
      <c r="DK15" s="108" t="n"/>
      <c r="DL15" s="108" t="n"/>
      <c r="DM15" s="108" t="n"/>
      <c r="DN15" s="108" t="n"/>
      <c r="DO15" s="108" t="n"/>
      <c r="DP15" s="108" t="n"/>
      <c r="DQ15" s="108" t="n"/>
      <c r="DR15" s="108" t="n"/>
      <c r="DS15" s="108" t="n"/>
      <c r="DT15" s="108" t="n"/>
      <c r="DU15" s="108" t="n"/>
      <c r="DV15" s="108" t="n"/>
      <c r="DW15" s="108" t="n"/>
      <c r="DX15" s="108" t="n"/>
      <c r="DY15" s="108" t="n"/>
      <c r="DZ15" s="108" t="n"/>
      <c r="EA15" s="108" t="n"/>
      <c r="EB15" s="108" t="n"/>
      <c r="EC15" s="108" t="n"/>
      <c r="ED15" s="108" t="n"/>
      <c r="EE15" s="108" t="n"/>
      <c r="EF15" s="108" t="n"/>
      <c r="EG15" s="108" t="n"/>
      <c r="EH15" s="108" t="n"/>
      <c r="EI15" s="108" t="n"/>
      <c r="EJ15" s="108" t="n"/>
      <c r="EK15" s="108" t="n"/>
      <c r="EL15" s="108" t="n"/>
      <c r="EM15" s="108" t="n"/>
      <c r="EN15" s="108" t="n"/>
      <c r="EO15" s="108" t="n"/>
      <c r="EP15" s="108" t="n"/>
      <c r="EQ15" s="108" t="n"/>
      <c r="ER15" s="108" t="n"/>
      <c r="ES15" s="108" t="n"/>
      <c r="ET15" s="108" t="n"/>
      <c r="EU15" s="108" t="n"/>
      <c r="EV15" s="108" t="n"/>
      <c r="EW15" s="108" t="n"/>
      <c r="EX15" s="108" t="n"/>
      <c r="EY15" s="108" t="n"/>
      <c r="EZ15" s="108" t="n"/>
      <c r="FA15" s="108" t="n"/>
      <c r="FB15" s="108" t="n"/>
      <c r="FC15" s="108" t="n"/>
      <c r="FD15" s="108" t="n"/>
      <c r="FE15" s="108" t="n"/>
      <c r="FF15" s="108" t="n"/>
      <c r="FG15" s="108" t="n"/>
      <c r="FH15" s="108" t="n"/>
      <c r="FI15" s="108" t="n"/>
      <c r="FJ15" s="108" t="n"/>
      <c r="FK15" s="108" t="n"/>
      <c r="FL15" s="108" t="n"/>
      <c r="FM15" s="108" t="n"/>
      <c r="FN15" s="108" t="n"/>
      <c r="FO15" s="108" t="n"/>
      <c r="FP15" s="108" t="n"/>
      <c r="FQ15" s="108" t="n"/>
      <c r="FR15" s="108" t="n"/>
      <c r="FS15" s="108" t="n"/>
      <c r="FT15" s="108" t="n"/>
      <c r="FU15" s="108" t="n"/>
      <c r="FV15" s="108" t="n"/>
      <c r="FW15" s="108" t="n"/>
      <c r="FX15" s="108" t="n"/>
      <c r="FY15" s="108" t="n"/>
      <c r="FZ15" s="108" t="n"/>
      <c r="GA15" s="108" t="n"/>
      <c r="GB15" s="108" t="n"/>
      <c r="GC15" s="108" t="n"/>
      <c r="GD15" s="108" t="n"/>
      <c r="GE15" s="108" t="n"/>
      <c r="GF15" s="108" t="n"/>
      <c r="GG15" s="108" t="n"/>
      <c r="GH15" s="108" t="n"/>
      <c r="GI15" s="108" t="n"/>
      <c r="GJ15" s="108" t="n"/>
      <c r="GK15" s="108" t="n"/>
      <c r="GL15" s="108" t="n"/>
      <c r="GM15" s="108" t="n"/>
      <c r="GN15" s="108" t="n"/>
      <c r="GO15" s="108" t="n"/>
      <c r="GP15" s="108" t="n"/>
      <c r="GQ15" s="108" t="n"/>
      <c r="GR15" s="108" t="n"/>
      <c r="GS15" s="108" t="n"/>
      <c r="GT15" s="108" t="n"/>
      <c r="GU15" s="108" t="n"/>
      <c r="GV15" s="108" t="n"/>
      <c r="GW15" s="108" t="n"/>
      <c r="GX15" s="108" t="n"/>
      <c r="GY15" s="108" t="n"/>
      <c r="GZ15" s="108" t="n"/>
      <c r="HA15" s="108" t="n"/>
      <c r="HB15" s="108" t="n"/>
      <c r="HC15" s="108" t="n"/>
      <c r="HD15" s="108" t="n"/>
      <c r="HE15" s="108" t="n"/>
      <c r="HF15" s="108" t="n"/>
      <c r="HG15" s="108" t="n"/>
      <c r="HH15" s="108" t="n"/>
      <c r="HI15" s="108" t="n"/>
      <c r="HJ15" s="108" t="n"/>
      <c r="HK15" s="108" t="n"/>
      <c r="HL15" s="108" t="n"/>
      <c r="HM15" s="108" t="n"/>
      <c r="HN15" s="108" t="n"/>
      <c r="HO15" s="108" t="n"/>
      <c r="HP15" s="108" t="n"/>
      <c r="HQ15" s="108" t="n"/>
      <c r="HR15" s="108" t="n"/>
      <c r="HS15" s="108" t="n"/>
      <c r="HT15" s="108" t="n"/>
      <c r="HU15" s="108" t="n"/>
      <c r="HV15" s="108" t="n"/>
      <c r="HW15" s="108" t="n"/>
      <c r="HX15" s="108" t="n"/>
      <c r="HY15" s="108" t="n"/>
      <c r="HZ15" s="108" t="n"/>
      <c r="IA15" s="108" t="n"/>
      <c r="XEZ15" s="110" t="n"/>
      <c r="XFA15" s="110" t="n"/>
      <c r="XFB15" s="110" t="n"/>
      <c r="XFC15" s="110" t="n"/>
      <c r="XFD15" s="110" t="n"/>
    </row>
    <row r="16" ht="15" customFormat="1" customHeight="1" s="111">
      <c r="A16" s="108" t="n"/>
      <c r="B16" s="108" t="n"/>
      <c r="C16" s="108" t="n"/>
      <c r="D16" s="146" t="n"/>
      <c r="E16" s="147" t="inlineStr">
        <is>
          <t>62.5 percentile</t>
        </is>
      </c>
      <c r="F16" s="144" t="n"/>
      <c r="G16" s="148">
        <f>PERCENTILE(G6:G8,0.625)</f>
        <v/>
      </c>
      <c r="H16" s="110" t="n"/>
      <c r="I16" s="117" t="n"/>
      <c r="J16" s="117" t="n"/>
      <c r="K16" s="117" t="n"/>
      <c r="L16" s="117" t="n"/>
      <c r="M16" s="117" t="n"/>
      <c r="N16" s="117" t="n"/>
      <c r="O16" s="117" t="n"/>
      <c r="P16" s="117" t="n"/>
      <c r="Q16" s="117" t="n"/>
      <c r="R16" s="117" t="n"/>
      <c r="S16" s="117" t="n"/>
      <c r="T16" s="117" t="n"/>
      <c r="U16" s="117" t="n"/>
      <c r="V16" s="117" t="n"/>
      <c r="W16" s="117" t="n"/>
      <c r="X16" s="117" t="n"/>
      <c r="Y16" s="117" t="n"/>
      <c r="Z16" s="117" t="n"/>
      <c r="AA16" s="117" t="n"/>
      <c r="AB16" s="117" t="n"/>
      <c r="AC16" s="117" t="n"/>
      <c r="AD16" s="117" t="n"/>
      <c r="AE16" s="108" t="n"/>
      <c r="AF16" s="108" t="n"/>
      <c r="AG16" s="108" t="n"/>
      <c r="AH16" s="108" t="n"/>
      <c r="AI16" s="108" t="n"/>
      <c r="AJ16" s="108" t="n"/>
      <c r="AK16" s="108" t="n"/>
      <c r="AL16" s="108" t="n"/>
      <c r="AM16" s="108" t="n"/>
      <c r="AN16" s="108" t="n"/>
      <c r="AO16" s="108" t="n"/>
      <c r="AP16" s="108" t="n"/>
      <c r="AQ16" s="108" t="n"/>
      <c r="AR16" s="108" t="n"/>
      <c r="AS16" s="108" t="n"/>
      <c r="AT16" s="108" t="n"/>
      <c r="AU16" s="108" t="n"/>
      <c r="AV16" s="108" t="n"/>
      <c r="AW16" s="108" t="n"/>
      <c r="AX16" s="108" t="n"/>
      <c r="AY16" s="108" t="n"/>
      <c r="AZ16" s="108" t="n"/>
      <c r="BA16" s="108" t="n"/>
      <c r="BB16" s="108" t="n"/>
      <c r="BC16" s="108" t="n"/>
      <c r="BD16" s="108" t="n"/>
      <c r="BE16" s="108" t="n"/>
      <c r="BF16" s="108" t="n"/>
      <c r="BG16" s="108" t="n"/>
      <c r="BH16" s="108" t="n"/>
      <c r="BI16" s="108" t="n"/>
      <c r="BJ16" s="108" t="n"/>
      <c r="BK16" s="108" t="n"/>
      <c r="BL16" s="108" t="n"/>
      <c r="BM16" s="108" t="n"/>
      <c r="BN16" s="108" t="n"/>
      <c r="BO16" s="108" t="n"/>
      <c r="BP16" s="108" t="n"/>
      <c r="BQ16" s="108" t="n"/>
      <c r="BR16" s="108" t="n"/>
      <c r="BS16" s="108" t="n"/>
      <c r="BT16" s="108" t="n"/>
      <c r="BU16" s="108" t="n"/>
      <c r="BV16" s="108" t="n"/>
      <c r="BW16" s="108" t="n"/>
      <c r="BX16" s="108" t="n"/>
      <c r="BY16" s="108" t="n"/>
      <c r="BZ16" s="108" t="n"/>
      <c r="CA16" s="108" t="n"/>
      <c r="CB16" s="108" t="n"/>
      <c r="CC16" s="108" t="n"/>
      <c r="CD16" s="108" t="n"/>
      <c r="CE16" s="108" t="n"/>
      <c r="CF16" s="108" t="n"/>
      <c r="CG16" s="108" t="n"/>
      <c r="CH16" s="108" t="n"/>
      <c r="CI16" s="108" t="n"/>
      <c r="CJ16" s="108" t="n"/>
      <c r="CK16" s="108" t="n"/>
      <c r="CL16" s="108" t="n"/>
      <c r="CM16" s="108" t="n"/>
      <c r="CN16" s="108" t="n"/>
      <c r="CO16" s="108" t="n"/>
      <c r="CP16" s="108" t="n"/>
      <c r="CQ16" s="108" t="n"/>
      <c r="CR16" s="108" t="n"/>
      <c r="CS16" s="108" t="n"/>
      <c r="CT16" s="108" t="n"/>
      <c r="CU16" s="108" t="n"/>
      <c r="CV16" s="108" t="n"/>
      <c r="CW16" s="108" t="n"/>
      <c r="CX16" s="108" t="n"/>
      <c r="CY16" s="108" t="n"/>
      <c r="CZ16" s="108" t="n"/>
      <c r="DA16" s="108" t="n"/>
      <c r="DB16" s="108" t="n"/>
      <c r="DC16" s="108" t="n"/>
      <c r="DD16" s="108" t="n"/>
      <c r="DE16" s="108" t="n"/>
      <c r="DF16" s="108" t="n"/>
      <c r="DG16" s="108" t="n"/>
      <c r="DH16" s="108" t="n"/>
      <c r="DI16" s="108" t="n"/>
      <c r="DJ16" s="108" t="n"/>
      <c r="DK16" s="108" t="n"/>
      <c r="DL16" s="108" t="n"/>
      <c r="DM16" s="108" t="n"/>
      <c r="DN16" s="108" t="n"/>
      <c r="DO16" s="108" t="n"/>
      <c r="DP16" s="108" t="n"/>
      <c r="DQ16" s="108" t="n"/>
      <c r="DR16" s="108" t="n"/>
      <c r="DS16" s="108" t="n"/>
      <c r="DT16" s="108" t="n"/>
      <c r="DU16" s="108" t="n"/>
      <c r="DV16" s="108" t="n"/>
      <c r="DW16" s="108" t="n"/>
      <c r="DX16" s="108" t="n"/>
      <c r="DY16" s="108" t="n"/>
      <c r="DZ16" s="108" t="n"/>
      <c r="EA16" s="108" t="n"/>
      <c r="EB16" s="108" t="n"/>
      <c r="EC16" s="108" t="n"/>
      <c r="ED16" s="108" t="n"/>
      <c r="EE16" s="108" t="n"/>
      <c r="EF16" s="108" t="n"/>
      <c r="EG16" s="108" t="n"/>
      <c r="EH16" s="108" t="n"/>
      <c r="EI16" s="108" t="n"/>
      <c r="EJ16" s="108" t="n"/>
      <c r="EK16" s="108" t="n"/>
      <c r="EL16" s="108" t="n"/>
      <c r="EM16" s="108" t="n"/>
      <c r="EN16" s="108" t="n"/>
      <c r="EO16" s="108" t="n"/>
      <c r="EP16" s="108" t="n"/>
      <c r="EQ16" s="108" t="n"/>
      <c r="ER16" s="108" t="n"/>
      <c r="ES16" s="108" t="n"/>
      <c r="ET16" s="108" t="n"/>
      <c r="EU16" s="108" t="n"/>
      <c r="EV16" s="108" t="n"/>
      <c r="EW16" s="108" t="n"/>
      <c r="EX16" s="108" t="n"/>
      <c r="EY16" s="108" t="n"/>
      <c r="EZ16" s="108" t="n"/>
      <c r="FA16" s="108" t="n"/>
      <c r="FB16" s="108" t="n"/>
      <c r="FC16" s="108" t="n"/>
      <c r="FD16" s="108" t="n"/>
      <c r="FE16" s="108" t="n"/>
      <c r="FF16" s="108" t="n"/>
      <c r="FG16" s="108" t="n"/>
      <c r="FH16" s="108" t="n"/>
      <c r="FI16" s="108" t="n"/>
      <c r="FJ16" s="108" t="n"/>
      <c r="FK16" s="108" t="n"/>
      <c r="FL16" s="108" t="n"/>
      <c r="FM16" s="108" t="n"/>
      <c r="FN16" s="108" t="n"/>
      <c r="FO16" s="108" t="n"/>
      <c r="FP16" s="108" t="n"/>
      <c r="FQ16" s="108" t="n"/>
      <c r="FR16" s="108" t="n"/>
      <c r="FS16" s="108" t="n"/>
      <c r="FT16" s="108" t="n"/>
      <c r="FU16" s="108" t="n"/>
      <c r="FV16" s="108" t="n"/>
      <c r="FW16" s="108" t="n"/>
      <c r="FX16" s="108" t="n"/>
      <c r="FY16" s="108" t="n"/>
      <c r="FZ16" s="108" t="n"/>
      <c r="GA16" s="108" t="n"/>
      <c r="GB16" s="108" t="n"/>
      <c r="GC16" s="108" t="n"/>
      <c r="GD16" s="108" t="n"/>
      <c r="GE16" s="108" t="n"/>
      <c r="GF16" s="108" t="n"/>
      <c r="GG16" s="108" t="n"/>
      <c r="GH16" s="108" t="n"/>
      <c r="GI16" s="108" t="n"/>
      <c r="GJ16" s="108" t="n"/>
      <c r="GK16" s="108" t="n"/>
      <c r="GL16" s="108" t="n"/>
      <c r="GM16" s="108" t="n"/>
      <c r="GN16" s="108" t="n"/>
      <c r="GO16" s="108" t="n"/>
      <c r="GP16" s="108" t="n"/>
      <c r="GQ16" s="108" t="n"/>
      <c r="GR16" s="108" t="n"/>
      <c r="GS16" s="108" t="n"/>
      <c r="GT16" s="108" t="n"/>
      <c r="GU16" s="108" t="n"/>
      <c r="GV16" s="108" t="n"/>
      <c r="GW16" s="108" t="n"/>
      <c r="GX16" s="108" t="n"/>
      <c r="GY16" s="108" t="n"/>
      <c r="GZ16" s="108" t="n"/>
      <c r="HA16" s="108" t="n"/>
      <c r="HB16" s="108" t="n"/>
      <c r="HC16" s="108" t="n"/>
      <c r="HD16" s="108" t="n"/>
      <c r="HE16" s="108" t="n"/>
      <c r="HF16" s="108" t="n"/>
      <c r="HG16" s="108" t="n"/>
      <c r="HH16" s="108" t="n"/>
      <c r="HI16" s="108" t="n"/>
      <c r="HJ16" s="108" t="n"/>
      <c r="HK16" s="108" t="n"/>
      <c r="HL16" s="108" t="n"/>
      <c r="HM16" s="108" t="n"/>
      <c r="HN16" s="108" t="n"/>
      <c r="HO16" s="108" t="n"/>
      <c r="HP16" s="108" t="n"/>
      <c r="HQ16" s="108" t="n"/>
      <c r="HR16" s="108" t="n"/>
      <c r="HS16" s="108" t="n"/>
      <c r="HT16" s="108" t="n"/>
      <c r="HU16" s="108" t="n"/>
      <c r="HV16" s="108" t="n"/>
      <c r="HW16" s="108" t="n"/>
      <c r="HX16" s="108" t="n"/>
      <c r="HY16" s="108" t="n"/>
      <c r="HZ16" s="108" t="n"/>
      <c r="IA16" s="108" t="n"/>
      <c r="XEZ16" s="110" t="n"/>
      <c r="XFA16" s="110" t="n"/>
      <c r="XFB16" s="110" t="n"/>
      <c r="XFC16" s="110" t="n"/>
      <c r="XFD16" s="110" t="n"/>
    </row>
    <row r="17" ht="15" customFormat="1" customHeight="1" s="111">
      <c r="A17" s="108" t="n"/>
      <c r="B17" s="108" t="n"/>
      <c r="C17" s="108" t="n"/>
      <c r="D17" s="146" t="n"/>
      <c r="E17" s="147" t="inlineStr">
        <is>
          <t>Median</t>
        </is>
      </c>
      <c r="F17" s="144" t="n"/>
      <c r="G17" s="149">
        <f>(G16+G18)/2</f>
        <v/>
      </c>
      <c r="H17" s="110" t="n"/>
      <c r="I17" s="117" t="n"/>
      <c r="J17" s="117" t="n"/>
      <c r="K17" s="117" t="n"/>
      <c r="L17" s="117" t="n"/>
      <c r="M17" s="117" t="n"/>
      <c r="N17" s="117" t="n"/>
      <c r="O17" s="117" t="n"/>
      <c r="P17" s="117" t="n"/>
      <c r="Q17" s="117" t="n"/>
      <c r="R17" s="117" t="n"/>
      <c r="S17" s="117" t="n"/>
      <c r="T17" s="117" t="n"/>
      <c r="U17" s="117" t="n"/>
      <c r="V17" s="117" t="n"/>
      <c r="W17" s="117" t="n"/>
      <c r="X17" s="117" t="n"/>
      <c r="Y17" s="117" t="n"/>
      <c r="Z17" s="117" t="n"/>
      <c r="AA17" s="117" t="n"/>
      <c r="AB17" s="117" t="n"/>
      <c r="AC17" s="117" t="n"/>
      <c r="AD17" s="117" t="n"/>
      <c r="AE17" s="108" t="n"/>
      <c r="AF17" s="108" t="n"/>
      <c r="AG17" s="108" t="n"/>
      <c r="AH17" s="108" t="n"/>
      <c r="AI17" s="108" t="n"/>
      <c r="AJ17" s="108" t="n"/>
      <c r="AK17" s="108" t="n"/>
      <c r="AL17" s="108" t="n"/>
      <c r="AM17" s="108" t="n"/>
      <c r="AN17" s="108" t="n"/>
      <c r="AO17" s="108" t="n"/>
      <c r="AP17" s="108" t="n"/>
      <c r="AQ17" s="108" t="n"/>
      <c r="AR17" s="108" t="n"/>
      <c r="AS17" s="108" t="n"/>
      <c r="AT17" s="108" t="n"/>
      <c r="AU17" s="108" t="n"/>
      <c r="AV17" s="108" t="n"/>
      <c r="AW17" s="108" t="n"/>
      <c r="AX17" s="108" t="n"/>
      <c r="AY17" s="108" t="n"/>
      <c r="AZ17" s="108" t="n"/>
      <c r="BA17" s="108" t="n"/>
      <c r="BB17" s="108" t="n"/>
      <c r="BC17" s="108" t="n"/>
      <c r="BD17" s="108" t="n"/>
      <c r="BE17" s="108" t="n"/>
      <c r="BF17" s="108" t="n"/>
      <c r="BG17" s="108" t="n"/>
      <c r="BH17" s="108" t="n"/>
      <c r="BI17" s="108" t="n"/>
      <c r="BJ17" s="108" t="n"/>
      <c r="BK17" s="108" t="n"/>
      <c r="BL17" s="108" t="n"/>
      <c r="BM17" s="108" t="n"/>
      <c r="BN17" s="108" t="n"/>
      <c r="BO17" s="108" t="n"/>
      <c r="BP17" s="108" t="n"/>
      <c r="BQ17" s="108" t="n"/>
      <c r="BR17" s="108" t="n"/>
      <c r="BS17" s="108" t="n"/>
      <c r="BT17" s="108" t="n"/>
      <c r="BU17" s="108" t="n"/>
      <c r="BV17" s="108" t="n"/>
      <c r="BW17" s="108" t="n"/>
      <c r="BX17" s="108" t="n"/>
      <c r="BY17" s="108" t="n"/>
      <c r="BZ17" s="108" t="n"/>
      <c r="CA17" s="108" t="n"/>
      <c r="CB17" s="108" t="n"/>
      <c r="CC17" s="108" t="n"/>
      <c r="CD17" s="108" t="n"/>
      <c r="CE17" s="108" t="n"/>
      <c r="CF17" s="108" t="n"/>
      <c r="CG17" s="108" t="n"/>
      <c r="CH17" s="108" t="n"/>
      <c r="CI17" s="108" t="n"/>
      <c r="CJ17" s="108" t="n"/>
      <c r="CK17" s="108" t="n"/>
      <c r="CL17" s="108" t="n"/>
      <c r="CM17" s="108" t="n"/>
      <c r="CN17" s="108" t="n"/>
      <c r="CO17" s="108" t="n"/>
      <c r="CP17" s="108" t="n"/>
      <c r="CQ17" s="108" t="n"/>
      <c r="CR17" s="108" t="n"/>
      <c r="CS17" s="108" t="n"/>
      <c r="CT17" s="108" t="n"/>
      <c r="CU17" s="108" t="n"/>
      <c r="CV17" s="108" t="n"/>
      <c r="CW17" s="108" t="n"/>
      <c r="CX17" s="108" t="n"/>
      <c r="CY17" s="108" t="n"/>
      <c r="CZ17" s="108" t="n"/>
      <c r="DA17" s="108" t="n"/>
      <c r="DB17" s="108" t="n"/>
      <c r="DC17" s="108" t="n"/>
      <c r="DD17" s="108" t="n"/>
      <c r="DE17" s="108" t="n"/>
      <c r="DF17" s="108" t="n"/>
      <c r="DG17" s="108" t="n"/>
      <c r="DH17" s="108" t="n"/>
      <c r="DI17" s="108" t="n"/>
      <c r="DJ17" s="108" t="n"/>
      <c r="DK17" s="108" t="n"/>
      <c r="DL17" s="108" t="n"/>
      <c r="DM17" s="108" t="n"/>
      <c r="DN17" s="108" t="n"/>
      <c r="DO17" s="108" t="n"/>
      <c r="DP17" s="108" t="n"/>
      <c r="DQ17" s="108" t="n"/>
      <c r="DR17" s="108" t="n"/>
      <c r="DS17" s="108" t="n"/>
      <c r="DT17" s="108" t="n"/>
      <c r="DU17" s="108" t="n"/>
      <c r="DV17" s="108" t="n"/>
      <c r="DW17" s="108" t="n"/>
      <c r="DX17" s="108" t="n"/>
      <c r="DY17" s="108" t="n"/>
      <c r="DZ17" s="108" t="n"/>
      <c r="EA17" s="108" t="n"/>
      <c r="EB17" s="108" t="n"/>
      <c r="EC17" s="108" t="n"/>
      <c r="ED17" s="108" t="n"/>
      <c r="EE17" s="108" t="n"/>
      <c r="EF17" s="108" t="n"/>
      <c r="EG17" s="108" t="n"/>
      <c r="EH17" s="108" t="n"/>
      <c r="EI17" s="108" t="n"/>
      <c r="EJ17" s="108" t="n"/>
      <c r="EK17" s="108" t="n"/>
      <c r="EL17" s="108" t="n"/>
      <c r="EM17" s="108" t="n"/>
      <c r="EN17" s="108" t="n"/>
      <c r="EO17" s="108" t="n"/>
      <c r="EP17" s="108" t="n"/>
      <c r="EQ17" s="108" t="n"/>
      <c r="ER17" s="108" t="n"/>
      <c r="ES17" s="108" t="n"/>
      <c r="ET17" s="108" t="n"/>
      <c r="EU17" s="108" t="n"/>
      <c r="EV17" s="108" t="n"/>
      <c r="EW17" s="108" t="n"/>
      <c r="EX17" s="108" t="n"/>
      <c r="EY17" s="108" t="n"/>
      <c r="EZ17" s="108" t="n"/>
      <c r="FA17" s="108" t="n"/>
      <c r="FB17" s="108" t="n"/>
      <c r="FC17" s="108" t="n"/>
      <c r="FD17" s="108" t="n"/>
      <c r="FE17" s="108" t="n"/>
      <c r="FF17" s="108" t="n"/>
      <c r="FG17" s="108" t="n"/>
      <c r="FH17" s="108" t="n"/>
      <c r="FI17" s="108" t="n"/>
      <c r="FJ17" s="108" t="n"/>
      <c r="FK17" s="108" t="n"/>
      <c r="FL17" s="108" t="n"/>
      <c r="FM17" s="108" t="n"/>
      <c r="FN17" s="108" t="n"/>
      <c r="FO17" s="108" t="n"/>
      <c r="FP17" s="108" t="n"/>
      <c r="FQ17" s="108" t="n"/>
      <c r="FR17" s="108" t="n"/>
      <c r="FS17" s="108" t="n"/>
      <c r="FT17" s="108" t="n"/>
      <c r="FU17" s="108" t="n"/>
      <c r="FV17" s="108" t="n"/>
      <c r="FW17" s="108" t="n"/>
      <c r="FX17" s="108" t="n"/>
      <c r="FY17" s="108" t="n"/>
      <c r="FZ17" s="108" t="n"/>
      <c r="GA17" s="108" t="n"/>
      <c r="GB17" s="108" t="n"/>
      <c r="GC17" s="108" t="n"/>
      <c r="GD17" s="108" t="n"/>
      <c r="GE17" s="108" t="n"/>
      <c r="GF17" s="108" t="n"/>
      <c r="GG17" s="108" t="n"/>
      <c r="GH17" s="108" t="n"/>
      <c r="GI17" s="108" t="n"/>
      <c r="GJ17" s="108" t="n"/>
      <c r="GK17" s="108" t="n"/>
      <c r="GL17" s="108" t="n"/>
      <c r="GM17" s="108" t="n"/>
      <c r="GN17" s="108" t="n"/>
      <c r="GO17" s="108" t="n"/>
      <c r="GP17" s="108" t="n"/>
      <c r="GQ17" s="108" t="n"/>
      <c r="GR17" s="108" t="n"/>
      <c r="GS17" s="108" t="n"/>
      <c r="GT17" s="108" t="n"/>
      <c r="GU17" s="108" t="n"/>
      <c r="GV17" s="108" t="n"/>
      <c r="GW17" s="108" t="n"/>
      <c r="GX17" s="108" t="n"/>
      <c r="GY17" s="108" t="n"/>
      <c r="GZ17" s="108" t="n"/>
      <c r="HA17" s="108" t="n"/>
      <c r="HB17" s="108" t="n"/>
      <c r="HC17" s="108" t="n"/>
      <c r="HD17" s="108" t="n"/>
      <c r="HE17" s="108" t="n"/>
      <c r="HF17" s="108" t="n"/>
      <c r="HG17" s="108" t="n"/>
      <c r="HH17" s="108" t="n"/>
      <c r="HI17" s="108" t="n"/>
      <c r="HJ17" s="108" t="n"/>
      <c r="HK17" s="108" t="n"/>
      <c r="HL17" s="108" t="n"/>
      <c r="HM17" s="108" t="n"/>
      <c r="HN17" s="108" t="n"/>
      <c r="HO17" s="108" t="n"/>
      <c r="HP17" s="108" t="n"/>
      <c r="HQ17" s="108" t="n"/>
      <c r="HR17" s="108" t="n"/>
      <c r="HS17" s="108" t="n"/>
      <c r="HT17" s="108" t="n"/>
      <c r="HU17" s="108" t="n"/>
      <c r="HV17" s="108" t="n"/>
      <c r="HW17" s="108" t="n"/>
      <c r="HX17" s="108" t="n"/>
      <c r="HY17" s="108" t="n"/>
      <c r="HZ17" s="108" t="n"/>
      <c r="IA17" s="108" t="n"/>
      <c r="XEZ17" s="110" t="n"/>
      <c r="XFA17" s="110" t="n"/>
      <c r="XFB17" s="110" t="n"/>
      <c r="XFC17" s="110" t="n"/>
      <c r="XFD17" s="110" t="n"/>
    </row>
    <row r="18" ht="15" customFormat="1" customHeight="1" s="111">
      <c r="A18" s="108" t="n"/>
      <c r="B18" s="108" t="n"/>
      <c r="C18" s="108" t="n"/>
      <c r="D18" s="146" t="n"/>
      <c r="E18" s="147" t="inlineStr">
        <is>
          <t>37.5 percentile</t>
        </is>
      </c>
      <c r="F18" s="144" t="n"/>
      <c r="G18" s="148">
        <f>PERCENTILE(G6:G8,0.375)</f>
        <v/>
      </c>
      <c r="H18" s="110" t="n"/>
      <c r="I18" s="117" t="n"/>
      <c r="J18" s="117" t="n"/>
      <c r="K18" s="117" t="n"/>
      <c r="L18" s="117" t="n"/>
      <c r="M18" s="117" t="n"/>
      <c r="N18" s="117" t="n"/>
      <c r="O18" s="117" t="n"/>
      <c r="P18" s="117" t="n"/>
      <c r="Q18" s="117" t="n"/>
      <c r="R18" s="117" t="n"/>
      <c r="S18" s="117" t="n"/>
      <c r="T18" s="117" t="n"/>
      <c r="U18" s="117" t="n"/>
      <c r="V18" s="117" t="n"/>
      <c r="W18" s="117" t="n"/>
      <c r="X18" s="117" t="n"/>
      <c r="Y18" s="117" t="n"/>
      <c r="Z18" s="117" t="n"/>
      <c r="AA18" s="117" t="n"/>
      <c r="AB18" s="117" t="n"/>
      <c r="AC18" s="117" t="n"/>
      <c r="AD18" s="117" t="n"/>
      <c r="AE18" s="108" t="n"/>
      <c r="AF18" s="108" t="n"/>
      <c r="AG18" s="108" t="n"/>
      <c r="AH18" s="108" t="n"/>
      <c r="AI18" s="108" t="n"/>
      <c r="AJ18" s="108" t="n"/>
      <c r="AK18" s="108" t="n"/>
      <c r="AL18" s="108" t="n"/>
      <c r="AM18" s="108" t="n"/>
      <c r="AN18" s="108" t="n"/>
      <c r="AO18" s="108" t="n"/>
      <c r="AP18" s="108" t="n"/>
      <c r="AQ18" s="108" t="n"/>
      <c r="AR18" s="108" t="n"/>
      <c r="AS18" s="108" t="n"/>
      <c r="AT18" s="108" t="n"/>
      <c r="AU18" s="108" t="n"/>
      <c r="AV18" s="108" t="n"/>
      <c r="AW18" s="108" t="n"/>
      <c r="AX18" s="108" t="n"/>
      <c r="AY18" s="108" t="n"/>
      <c r="AZ18" s="108" t="n"/>
      <c r="BA18" s="108" t="n"/>
      <c r="BB18" s="108" t="n"/>
      <c r="BC18" s="108" t="n"/>
      <c r="BD18" s="108" t="n"/>
      <c r="BE18" s="108" t="n"/>
      <c r="BF18" s="108" t="n"/>
      <c r="BG18" s="108" t="n"/>
      <c r="BH18" s="108" t="n"/>
      <c r="BI18" s="108" t="n"/>
      <c r="BJ18" s="108" t="n"/>
      <c r="BK18" s="108" t="n"/>
      <c r="BL18" s="108" t="n"/>
      <c r="BM18" s="108" t="n"/>
      <c r="BN18" s="108" t="n"/>
      <c r="BO18" s="108" t="n"/>
      <c r="BP18" s="108" t="n"/>
      <c r="BQ18" s="108" t="n"/>
      <c r="BR18" s="108" t="n"/>
      <c r="BS18" s="108" t="n"/>
      <c r="BT18" s="108" t="n"/>
      <c r="BU18" s="108" t="n"/>
      <c r="BV18" s="108" t="n"/>
      <c r="BW18" s="108" t="n"/>
      <c r="BX18" s="108" t="n"/>
      <c r="BY18" s="108" t="n"/>
      <c r="BZ18" s="108" t="n"/>
      <c r="CA18" s="108" t="n"/>
      <c r="CB18" s="108" t="n"/>
      <c r="CC18" s="108" t="n"/>
      <c r="CD18" s="108" t="n"/>
      <c r="CE18" s="108" t="n"/>
      <c r="CF18" s="108" t="n"/>
      <c r="CG18" s="108" t="n"/>
      <c r="CH18" s="108" t="n"/>
      <c r="CI18" s="108" t="n"/>
      <c r="CJ18" s="108" t="n"/>
      <c r="CK18" s="108" t="n"/>
      <c r="CL18" s="108" t="n"/>
      <c r="CM18" s="108" t="n"/>
      <c r="CN18" s="108" t="n"/>
      <c r="CO18" s="108" t="n"/>
      <c r="CP18" s="108" t="n"/>
      <c r="CQ18" s="108" t="n"/>
      <c r="CR18" s="108" t="n"/>
      <c r="CS18" s="108" t="n"/>
      <c r="CT18" s="108" t="n"/>
      <c r="CU18" s="108" t="n"/>
      <c r="CV18" s="108" t="n"/>
      <c r="CW18" s="108" t="n"/>
      <c r="CX18" s="108" t="n"/>
      <c r="CY18" s="108" t="n"/>
      <c r="CZ18" s="108" t="n"/>
      <c r="DA18" s="108" t="n"/>
      <c r="DB18" s="108" t="n"/>
      <c r="DC18" s="108" t="n"/>
      <c r="DD18" s="108" t="n"/>
      <c r="DE18" s="108" t="n"/>
      <c r="DF18" s="108" t="n"/>
      <c r="DG18" s="108" t="n"/>
      <c r="DH18" s="108" t="n"/>
      <c r="DI18" s="108" t="n"/>
      <c r="DJ18" s="108" t="n"/>
      <c r="DK18" s="108" t="n"/>
      <c r="DL18" s="108" t="n"/>
      <c r="DM18" s="108" t="n"/>
      <c r="DN18" s="108" t="n"/>
      <c r="DO18" s="108" t="n"/>
      <c r="DP18" s="108" t="n"/>
      <c r="DQ18" s="108" t="n"/>
      <c r="DR18" s="108" t="n"/>
      <c r="DS18" s="108" t="n"/>
      <c r="DT18" s="108" t="n"/>
      <c r="DU18" s="108" t="n"/>
      <c r="DV18" s="108" t="n"/>
      <c r="DW18" s="108" t="n"/>
      <c r="DX18" s="108" t="n"/>
      <c r="DY18" s="108" t="n"/>
      <c r="DZ18" s="108" t="n"/>
      <c r="EA18" s="108" t="n"/>
      <c r="EB18" s="108" t="n"/>
      <c r="EC18" s="108" t="n"/>
      <c r="ED18" s="108" t="n"/>
      <c r="EE18" s="108" t="n"/>
      <c r="EF18" s="108" t="n"/>
      <c r="EG18" s="108" t="n"/>
      <c r="EH18" s="108" t="n"/>
      <c r="EI18" s="108" t="n"/>
      <c r="EJ18" s="108" t="n"/>
      <c r="EK18" s="108" t="n"/>
      <c r="EL18" s="108" t="n"/>
      <c r="EM18" s="108" t="n"/>
      <c r="EN18" s="108" t="n"/>
      <c r="EO18" s="108" t="n"/>
      <c r="EP18" s="108" t="n"/>
      <c r="EQ18" s="108" t="n"/>
      <c r="ER18" s="108" t="n"/>
      <c r="ES18" s="108" t="n"/>
      <c r="ET18" s="108" t="n"/>
      <c r="EU18" s="108" t="n"/>
      <c r="EV18" s="108" t="n"/>
      <c r="EW18" s="108" t="n"/>
      <c r="EX18" s="108" t="n"/>
      <c r="EY18" s="108" t="n"/>
      <c r="EZ18" s="108" t="n"/>
      <c r="FA18" s="108" t="n"/>
      <c r="FB18" s="108" t="n"/>
      <c r="FC18" s="108" t="n"/>
      <c r="FD18" s="108" t="n"/>
      <c r="FE18" s="108" t="n"/>
      <c r="FF18" s="108" t="n"/>
      <c r="FG18" s="108" t="n"/>
      <c r="FH18" s="108" t="n"/>
      <c r="FI18" s="108" t="n"/>
      <c r="FJ18" s="108" t="n"/>
      <c r="FK18" s="108" t="n"/>
      <c r="FL18" s="108" t="n"/>
      <c r="FM18" s="108" t="n"/>
      <c r="FN18" s="108" t="n"/>
      <c r="FO18" s="108" t="n"/>
      <c r="FP18" s="108" t="n"/>
      <c r="FQ18" s="108" t="n"/>
      <c r="FR18" s="108" t="n"/>
      <c r="FS18" s="108" t="n"/>
      <c r="FT18" s="108" t="n"/>
      <c r="FU18" s="108" t="n"/>
      <c r="FV18" s="108" t="n"/>
      <c r="FW18" s="108" t="n"/>
      <c r="FX18" s="108" t="n"/>
      <c r="FY18" s="108" t="n"/>
      <c r="FZ18" s="108" t="n"/>
      <c r="GA18" s="108" t="n"/>
      <c r="GB18" s="108" t="n"/>
      <c r="GC18" s="108" t="n"/>
      <c r="GD18" s="108" t="n"/>
      <c r="GE18" s="108" t="n"/>
      <c r="GF18" s="108" t="n"/>
      <c r="GG18" s="108" t="n"/>
      <c r="GH18" s="108" t="n"/>
      <c r="GI18" s="108" t="n"/>
      <c r="GJ18" s="108" t="n"/>
      <c r="GK18" s="108" t="n"/>
      <c r="GL18" s="108" t="n"/>
      <c r="GM18" s="108" t="n"/>
      <c r="GN18" s="108" t="n"/>
      <c r="GO18" s="108" t="n"/>
      <c r="GP18" s="108" t="n"/>
      <c r="GQ18" s="108" t="n"/>
      <c r="GR18" s="108" t="n"/>
      <c r="GS18" s="108" t="n"/>
      <c r="GT18" s="108" t="n"/>
      <c r="GU18" s="108" t="n"/>
      <c r="GV18" s="108" t="n"/>
      <c r="GW18" s="108" t="n"/>
      <c r="GX18" s="108" t="n"/>
      <c r="GY18" s="108" t="n"/>
      <c r="GZ18" s="108" t="n"/>
      <c r="HA18" s="108" t="n"/>
      <c r="HB18" s="108" t="n"/>
      <c r="HC18" s="108" t="n"/>
      <c r="HD18" s="108" t="n"/>
      <c r="HE18" s="108" t="n"/>
      <c r="HF18" s="108" t="n"/>
      <c r="HG18" s="108" t="n"/>
      <c r="HH18" s="108" t="n"/>
      <c r="HI18" s="108" t="n"/>
      <c r="HJ18" s="108" t="n"/>
      <c r="HK18" s="108" t="n"/>
      <c r="HL18" s="108" t="n"/>
      <c r="HM18" s="108" t="n"/>
      <c r="HN18" s="108" t="n"/>
      <c r="HO18" s="108" t="n"/>
      <c r="HP18" s="108" t="n"/>
      <c r="HQ18" s="108" t="n"/>
      <c r="HR18" s="108" t="n"/>
      <c r="HS18" s="108" t="n"/>
      <c r="HT18" s="108" t="n"/>
      <c r="HU18" s="108" t="n"/>
      <c r="HV18" s="108" t="n"/>
      <c r="HW18" s="108" t="n"/>
      <c r="HX18" s="108" t="n"/>
      <c r="HY18" s="108" t="n"/>
      <c r="HZ18" s="108" t="n"/>
      <c r="IA18" s="108" t="n"/>
      <c r="XEZ18" s="110" t="n"/>
      <c r="XFA18" s="110" t="n"/>
      <c r="XFB18" s="110" t="n"/>
      <c r="XFC18" s="110" t="n"/>
      <c r="XFD18" s="110" t="n"/>
    </row>
    <row r="19" ht="15" customFormat="1" customHeight="1" s="111">
      <c r="A19" s="108" t="n"/>
      <c r="B19" s="108" t="n"/>
      <c r="C19" s="108" t="n"/>
      <c r="D19" s="142" t="n"/>
      <c r="E19" s="143" t="inlineStr">
        <is>
          <t>Lower Decile</t>
        </is>
      </c>
      <c r="F19" s="144" t="n"/>
      <c r="G19" s="145">
        <f>PERCENTILE(G6:G8,0.1)</f>
        <v/>
      </c>
      <c r="H19" s="110" t="n"/>
      <c r="I19" s="117" t="n"/>
      <c r="J19" s="117" t="n"/>
      <c r="K19" s="117" t="n"/>
      <c r="L19" s="117" t="n"/>
      <c r="M19" s="117" t="n"/>
      <c r="N19" s="117" t="n"/>
      <c r="O19" s="117" t="n"/>
      <c r="P19" s="117" t="n"/>
      <c r="Q19" s="117" t="n"/>
      <c r="R19" s="117" t="n"/>
      <c r="S19" s="117" t="n"/>
      <c r="T19" s="117" t="n"/>
      <c r="U19" s="117" t="n"/>
      <c r="V19" s="117" t="n"/>
      <c r="W19" s="117" t="n"/>
      <c r="X19" s="117" t="n"/>
      <c r="Y19" s="117" t="n"/>
      <c r="Z19" s="117" t="n"/>
      <c r="AA19" s="117" t="n"/>
      <c r="AB19" s="117" t="n"/>
      <c r="AC19" s="117" t="n"/>
      <c r="AD19" s="117" t="n"/>
      <c r="AE19" s="108" t="n"/>
      <c r="AF19" s="108" t="n"/>
      <c r="AG19" s="108" t="n"/>
      <c r="AH19" s="108" t="n"/>
      <c r="AI19" s="108" t="n"/>
      <c r="AJ19" s="108" t="n"/>
      <c r="AK19" s="108" t="n"/>
      <c r="AL19" s="108" t="n"/>
      <c r="AM19" s="108" t="n"/>
      <c r="AN19" s="108" t="n"/>
      <c r="AO19" s="108" t="n"/>
      <c r="AP19" s="108" t="n"/>
      <c r="AQ19" s="108" t="n"/>
      <c r="AR19" s="108" t="n"/>
      <c r="AS19" s="108" t="n"/>
      <c r="AT19" s="108" t="n"/>
      <c r="AU19" s="108" t="n"/>
      <c r="AV19" s="108" t="n"/>
      <c r="AW19" s="108" t="n"/>
      <c r="AX19" s="108" t="n"/>
      <c r="AY19" s="108" t="n"/>
      <c r="AZ19" s="108" t="n"/>
      <c r="BA19" s="108" t="n"/>
      <c r="BB19" s="108" t="n"/>
      <c r="BC19" s="108" t="n"/>
      <c r="BD19" s="108" t="n"/>
      <c r="BE19" s="108" t="n"/>
      <c r="BF19" s="108" t="n"/>
      <c r="BG19" s="108" t="n"/>
      <c r="BH19" s="108" t="n"/>
      <c r="BI19" s="108" t="n"/>
      <c r="BJ19" s="108" t="n"/>
      <c r="BK19" s="108" t="n"/>
      <c r="BL19" s="108" t="n"/>
      <c r="BM19" s="108" t="n"/>
      <c r="BN19" s="108" t="n"/>
      <c r="BO19" s="108" t="n"/>
      <c r="BP19" s="108" t="n"/>
      <c r="BQ19" s="108" t="n"/>
      <c r="BR19" s="108" t="n"/>
      <c r="BS19" s="108" t="n"/>
      <c r="BT19" s="108" t="n"/>
      <c r="BU19" s="108" t="n"/>
      <c r="BV19" s="108" t="n"/>
      <c r="BW19" s="108" t="n"/>
      <c r="BX19" s="108" t="n"/>
      <c r="BY19" s="108" t="n"/>
      <c r="BZ19" s="108" t="n"/>
      <c r="CA19" s="108" t="n"/>
      <c r="CB19" s="108" t="n"/>
      <c r="CC19" s="108" t="n"/>
      <c r="CD19" s="108" t="n"/>
      <c r="CE19" s="108" t="n"/>
      <c r="CF19" s="108" t="n"/>
      <c r="CG19" s="108" t="n"/>
      <c r="CH19" s="108" t="n"/>
      <c r="CI19" s="108" t="n"/>
      <c r="CJ19" s="108" t="n"/>
      <c r="CK19" s="108" t="n"/>
      <c r="CL19" s="108" t="n"/>
      <c r="CM19" s="108" t="n"/>
      <c r="CN19" s="108" t="n"/>
      <c r="CO19" s="108" t="n"/>
      <c r="CP19" s="108" t="n"/>
      <c r="CQ19" s="108" t="n"/>
      <c r="CR19" s="108" t="n"/>
      <c r="CS19" s="108" t="n"/>
      <c r="CT19" s="108" t="n"/>
      <c r="CU19" s="108" t="n"/>
      <c r="CV19" s="108" t="n"/>
      <c r="CW19" s="108" t="n"/>
      <c r="CX19" s="108" t="n"/>
      <c r="CY19" s="108" t="n"/>
      <c r="CZ19" s="108" t="n"/>
      <c r="DA19" s="108" t="n"/>
      <c r="DB19" s="108" t="n"/>
      <c r="DC19" s="108" t="n"/>
      <c r="DD19" s="108" t="n"/>
      <c r="DE19" s="108" t="n"/>
      <c r="DF19" s="108" t="n"/>
      <c r="DG19" s="108" t="n"/>
      <c r="DH19" s="108" t="n"/>
      <c r="DI19" s="108" t="n"/>
      <c r="DJ19" s="108" t="n"/>
      <c r="DK19" s="108" t="n"/>
      <c r="DL19" s="108" t="n"/>
      <c r="DM19" s="108" t="n"/>
      <c r="DN19" s="108" t="n"/>
      <c r="DO19" s="108" t="n"/>
      <c r="DP19" s="108" t="n"/>
      <c r="DQ19" s="108" t="n"/>
      <c r="DR19" s="108" t="n"/>
      <c r="DS19" s="108" t="n"/>
      <c r="DT19" s="108" t="n"/>
      <c r="DU19" s="108" t="n"/>
      <c r="DV19" s="108" t="n"/>
      <c r="DW19" s="108" t="n"/>
      <c r="DX19" s="108" t="n"/>
      <c r="DY19" s="108" t="n"/>
      <c r="DZ19" s="108" t="n"/>
      <c r="EA19" s="108" t="n"/>
      <c r="EB19" s="108" t="n"/>
      <c r="EC19" s="108" t="n"/>
      <c r="ED19" s="108" t="n"/>
      <c r="EE19" s="108" t="n"/>
      <c r="EF19" s="108" t="n"/>
      <c r="EG19" s="108" t="n"/>
      <c r="EH19" s="108" t="n"/>
      <c r="EI19" s="108" t="n"/>
      <c r="EJ19" s="108" t="n"/>
      <c r="EK19" s="108" t="n"/>
      <c r="EL19" s="108" t="n"/>
      <c r="EM19" s="108" t="n"/>
      <c r="EN19" s="108" t="n"/>
      <c r="EO19" s="108" t="n"/>
      <c r="EP19" s="108" t="n"/>
      <c r="EQ19" s="108" t="n"/>
      <c r="ER19" s="108" t="n"/>
      <c r="ES19" s="108" t="n"/>
      <c r="ET19" s="108" t="n"/>
      <c r="EU19" s="108" t="n"/>
      <c r="EV19" s="108" t="n"/>
      <c r="EW19" s="108" t="n"/>
      <c r="EX19" s="108" t="n"/>
      <c r="EY19" s="108" t="n"/>
      <c r="EZ19" s="108" t="n"/>
      <c r="FA19" s="108" t="n"/>
      <c r="FB19" s="108" t="n"/>
      <c r="FC19" s="108" t="n"/>
      <c r="FD19" s="108" t="n"/>
      <c r="FE19" s="108" t="n"/>
      <c r="FF19" s="108" t="n"/>
      <c r="FG19" s="108" t="n"/>
      <c r="FH19" s="108" t="n"/>
      <c r="FI19" s="108" t="n"/>
      <c r="FJ19" s="108" t="n"/>
      <c r="FK19" s="108" t="n"/>
      <c r="FL19" s="108" t="n"/>
      <c r="FM19" s="108" t="n"/>
      <c r="FN19" s="108" t="n"/>
      <c r="FO19" s="108" t="n"/>
      <c r="FP19" s="108" t="n"/>
      <c r="FQ19" s="108" t="n"/>
      <c r="FR19" s="108" t="n"/>
      <c r="FS19" s="108" t="n"/>
      <c r="FT19" s="108" t="n"/>
      <c r="FU19" s="108" t="n"/>
      <c r="FV19" s="108" t="n"/>
      <c r="FW19" s="108" t="n"/>
      <c r="FX19" s="108" t="n"/>
      <c r="FY19" s="108" t="n"/>
      <c r="FZ19" s="108" t="n"/>
      <c r="GA19" s="108" t="n"/>
      <c r="GB19" s="108" t="n"/>
      <c r="GC19" s="108" t="n"/>
      <c r="GD19" s="108" t="n"/>
      <c r="GE19" s="108" t="n"/>
      <c r="GF19" s="108" t="n"/>
      <c r="GG19" s="108" t="n"/>
      <c r="GH19" s="108" t="n"/>
      <c r="GI19" s="108" t="n"/>
      <c r="GJ19" s="108" t="n"/>
      <c r="GK19" s="108" t="n"/>
      <c r="GL19" s="108" t="n"/>
      <c r="GM19" s="108" t="n"/>
      <c r="GN19" s="108" t="n"/>
      <c r="GO19" s="108" t="n"/>
      <c r="GP19" s="108" t="n"/>
      <c r="GQ19" s="108" t="n"/>
      <c r="GR19" s="108" t="n"/>
      <c r="GS19" s="108" t="n"/>
      <c r="GT19" s="108" t="n"/>
      <c r="GU19" s="108" t="n"/>
      <c r="GV19" s="108" t="n"/>
      <c r="GW19" s="108" t="n"/>
      <c r="GX19" s="108" t="n"/>
      <c r="GY19" s="108" t="n"/>
      <c r="GZ19" s="108" t="n"/>
      <c r="HA19" s="108" t="n"/>
      <c r="HB19" s="108" t="n"/>
      <c r="HC19" s="108" t="n"/>
      <c r="HD19" s="108" t="n"/>
      <c r="HE19" s="108" t="n"/>
      <c r="HF19" s="108" t="n"/>
      <c r="HG19" s="108" t="n"/>
      <c r="HH19" s="108" t="n"/>
      <c r="HI19" s="108" t="n"/>
      <c r="HJ19" s="108" t="n"/>
      <c r="HK19" s="108" t="n"/>
      <c r="HL19" s="108" t="n"/>
      <c r="HM19" s="108" t="n"/>
      <c r="HN19" s="108" t="n"/>
      <c r="HO19" s="108" t="n"/>
      <c r="HP19" s="108" t="n"/>
      <c r="HQ19" s="108" t="n"/>
      <c r="HR19" s="108" t="n"/>
      <c r="HS19" s="108" t="n"/>
      <c r="HT19" s="108" t="n"/>
      <c r="HU19" s="108" t="n"/>
      <c r="HV19" s="108" t="n"/>
      <c r="HW19" s="108" t="n"/>
      <c r="HX19" s="108" t="n"/>
      <c r="HY19" s="108" t="n"/>
      <c r="HZ19" s="108" t="n"/>
      <c r="IA19" s="108" t="n"/>
      <c r="XEZ19" s="110" t="n"/>
      <c r="XFA19" s="110" t="n"/>
      <c r="XFB19" s="110" t="n"/>
      <c r="XFC19" s="110" t="n"/>
      <c r="XFD19" s="110" t="n"/>
    </row>
    <row r="20" ht="15" customFormat="1" customHeight="1" s="111">
      <c r="A20" s="108" t="n"/>
      <c r="B20" s="108" t="n"/>
      <c r="C20" s="108" t="n"/>
      <c r="D20" s="142" t="n"/>
      <c r="E20" s="143" t="inlineStr">
        <is>
          <t>Minimum</t>
        </is>
      </c>
      <c r="F20" s="144" t="n"/>
      <c r="G20" s="145">
        <f>MIN(G6:G8)</f>
        <v/>
      </c>
      <c r="H20" s="110" t="n"/>
      <c r="I20" s="117" t="n"/>
      <c r="J20" s="117" t="n"/>
      <c r="K20" s="117" t="n"/>
      <c r="L20" s="117" t="n"/>
      <c r="M20" s="117" t="n"/>
      <c r="N20" s="117" t="n"/>
      <c r="O20" s="117" t="n"/>
      <c r="P20" s="117" t="n"/>
      <c r="Q20" s="117" t="n"/>
      <c r="R20" s="117" t="n"/>
      <c r="S20" s="117" t="n"/>
      <c r="T20" s="117" t="n"/>
      <c r="U20" s="117" t="n"/>
      <c r="V20" s="117" t="n"/>
      <c r="W20" s="117" t="n"/>
      <c r="X20" s="117" t="n"/>
      <c r="Y20" s="117" t="n"/>
      <c r="Z20" s="117" t="n"/>
      <c r="AA20" s="117" t="n"/>
      <c r="AB20" s="117" t="n"/>
      <c r="AC20" s="117" t="n"/>
      <c r="AD20" s="117" t="n"/>
      <c r="AE20" s="108" t="n"/>
      <c r="AF20" s="108" t="n"/>
      <c r="AG20" s="108" t="n"/>
      <c r="AH20" s="108" t="n"/>
      <c r="AI20" s="108" t="n"/>
      <c r="AJ20" s="108" t="n"/>
      <c r="AK20" s="108" t="n"/>
      <c r="AL20" s="108" t="n"/>
      <c r="AM20" s="108" t="n"/>
      <c r="AN20" s="108" t="n"/>
      <c r="AO20" s="108" t="n"/>
      <c r="AP20" s="108" t="n"/>
      <c r="AQ20" s="108" t="n"/>
      <c r="AR20" s="108" t="n"/>
      <c r="AS20" s="108" t="n"/>
      <c r="AT20" s="108" t="n"/>
      <c r="AU20" s="108" t="n"/>
      <c r="AV20" s="108" t="n"/>
      <c r="AW20" s="108" t="n"/>
      <c r="AX20" s="108" t="n"/>
      <c r="AY20" s="108" t="n"/>
      <c r="AZ20" s="108" t="n"/>
      <c r="BA20" s="108" t="n"/>
      <c r="BB20" s="108" t="n"/>
      <c r="BC20" s="108" t="n"/>
      <c r="BD20" s="108" t="n"/>
      <c r="BE20" s="108" t="n"/>
      <c r="BF20" s="108" t="n"/>
      <c r="BG20" s="108" t="n"/>
      <c r="BH20" s="108" t="n"/>
      <c r="BI20" s="108" t="n"/>
      <c r="BJ20" s="108" t="n"/>
      <c r="BK20" s="108" t="n"/>
      <c r="BL20" s="108" t="n"/>
      <c r="BM20" s="108" t="n"/>
      <c r="BN20" s="108" t="n"/>
      <c r="BO20" s="108" t="n"/>
      <c r="BP20" s="108" t="n"/>
      <c r="BQ20" s="108" t="n"/>
      <c r="BR20" s="108" t="n"/>
      <c r="BS20" s="108" t="n"/>
      <c r="BT20" s="108" t="n"/>
      <c r="BU20" s="108" t="n"/>
      <c r="BV20" s="108" t="n"/>
      <c r="BW20" s="108" t="n"/>
      <c r="BX20" s="108" t="n"/>
      <c r="BY20" s="108" t="n"/>
      <c r="BZ20" s="108" t="n"/>
      <c r="CA20" s="108" t="n"/>
      <c r="CB20" s="108" t="n"/>
      <c r="CC20" s="108" t="n"/>
      <c r="CD20" s="108" t="n"/>
      <c r="CE20" s="108" t="n"/>
      <c r="CF20" s="108" t="n"/>
      <c r="CG20" s="108" t="n"/>
      <c r="CH20" s="108" t="n"/>
      <c r="CI20" s="108" t="n"/>
      <c r="CJ20" s="108" t="n"/>
      <c r="CK20" s="108" t="n"/>
      <c r="CL20" s="108" t="n"/>
      <c r="CM20" s="108" t="n"/>
      <c r="CN20" s="108" t="n"/>
      <c r="CO20" s="108" t="n"/>
      <c r="CP20" s="108" t="n"/>
      <c r="CQ20" s="108" t="n"/>
      <c r="CR20" s="108" t="n"/>
      <c r="CS20" s="108" t="n"/>
      <c r="CT20" s="108" t="n"/>
      <c r="CU20" s="108" t="n"/>
      <c r="CV20" s="108" t="n"/>
      <c r="CW20" s="108" t="n"/>
      <c r="CX20" s="108" t="n"/>
      <c r="CY20" s="108" t="n"/>
      <c r="CZ20" s="108" t="n"/>
      <c r="DA20" s="108" t="n"/>
      <c r="DB20" s="108" t="n"/>
      <c r="DC20" s="108" t="n"/>
      <c r="DD20" s="108" t="n"/>
      <c r="DE20" s="108" t="n"/>
      <c r="DF20" s="108" t="n"/>
      <c r="DG20" s="108" t="n"/>
      <c r="DH20" s="108" t="n"/>
      <c r="DI20" s="108" t="n"/>
      <c r="DJ20" s="108" t="n"/>
      <c r="DK20" s="108" t="n"/>
      <c r="DL20" s="108" t="n"/>
      <c r="DM20" s="108" t="n"/>
      <c r="DN20" s="108" t="n"/>
      <c r="DO20" s="108" t="n"/>
      <c r="DP20" s="108" t="n"/>
      <c r="DQ20" s="108" t="n"/>
      <c r="DR20" s="108" t="n"/>
      <c r="DS20" s="108" t="n"/>
      <c r="DT20" s="108" t="n"/>
      <c r="DU20" s="108" t="n"/>
      <c r="DV20" s="108" t="n"/>
      <c r="DW20" s="108" t="n"/>
      <c r="DX20" s="108" t="n"/>
      <c r="DY20" s="108" t="n"/>
      <c r="DZ20" s="108" t="n"/>
      <c r="EA20" s="108" t="n"/>
      <c r="EB20" s="108" t="n"/>
      <c r="EC20" s="108" t="n"/>
      <c r="ED20" s="108" t="n"/>
      <c r="EE20" s="108" t="n"/>
      <c r="EF20" s="108" t="n"/>
      <c r="EG20" s="108" t="n"/>
      <c r="EH20" s="108" t="n"/>
      <c r="EI20" s="108" t="n"/>
      <c r="EJ20" s="108" t="n"/>
      <c r="EK20" s="108" t="n"/>
      <c r="EL20" s="108" t="n"/>
      <c r="EM20" s="108" t="n"/>
      <c r="EN20" s="108" t="n"/>
      <c r="EO20" s="108" t="n"/>
      <c r="EP20" s="108" t="n"/>
      <c r="EQ20" s="108" t="n"/>
      <c r="ER20" s="108" t="n"/>
      <c r="ES20" s="108" t="n"/>
      <c r="ET20" s="108" t="n"/>
      <c r="EU20" s="108" t="n"/>
      <c r="EV20" s="108" t="n"/>
      <c r="EW20" s="108" t="n"/>
      <c r="EX20" s="108" t="n"/>
      <c r="EY20" s="108" t="n"/>
      <c r="EZ20" s="108" t="n"/>
      <c r="FA20" s="108" t="n"/>
      <c r="FB20" s="108" t="n"/>
      <c r="FC20" s="108" t="n"/>
      <c r="FD20" s="108" t="n"/>
      <c r="FE20" s="108" t="n"/>
      <c r="FF20" s="108" t="n"/>
      <c r="FG20" s="108" t="n"/>
      <c r="FH20" s="108" t="n"/>
      <c r="FI20" s="108" t="n"/>
      <c r="FJ20" s="108" t="n"/>
      <c r="FK20" s="108" t="n"/>
      <c r="FL20" s="108" t="n"/>
      <c r="FM20" s="108" t="n"/>
      <c r="FN20" s="108" t="n"/>
      <c r="FO20" s="108" t="n"/>
      <c r="FP20" s="108" t="n"/>
      <c r="FQ20" s="108" t="n"/>
      <c r="FR20" s="108" t="n"/>
      <c r="FS20" s="108" t="n"/>
      <c r="FT20" s="108" t="n"/>
      <c r="FU20" s="108" t="n"/>
      <c r="FV20" s="108" t="n"/>
      <c r="FW20" s="108" t="n"/>
      <c r="FX20" s="108" t="n"/>
      <c r="FY20" s="108" t="n"/>
      <c r="FZ20" s="108" t="n"/>
      <c r="GA20" s="108" t="n"/>
      <c r="GB20" s="108" t="n"/>
      <c r="GC20" s="108" t="n"/>
      <c r="GD20" s="108" t="n"/>
      <c r="GE20" s="108" t="n"/>
      <c r="GF20" s="108" t="n"/>
      <c r="GG20" s="108" t="n"/>
      <c r="GH20" s="108" t="n"/>
      <c r="GI20" s="108" t="n"/>
      <c r="GJ20" s="108" t="n"/>
      <c r="GK20" s="108" t="n"/>
      <c r="GL20" s="108" t="n"/>
      <c r="GM20" s="108" t="n"/>
      <c r="GN20" s="108" t="n"/>
      <c r="GO20" s="108" t="n"/>
      <c r="GP20" s="108" t="n"/>
      <c r="GQ20" s="108" t="n"/>
      <c r="GR20" s="108" t="n"/>
      <c r="GS20" s="108" t="n"/>
      <c r="GT20" s="108" t="n"/>
      <c r="GU20" s="108" t="n"/>
      <c r="GV20" s="108" t="n"/>
      <c r="GW20" s="108" t="n"/>
      <c r="GX20" s="108" t="n"/>
      <c r="GY20" s="108" t="n"/>
      <c r="GZ20" s="108" t="n"/>
      <c r="HA20" s="108" t="n"/>
      <c r="HB20" s="108" t="n"/>
      <c r="HC20" s="108" t="n"/>
      <c r="HD20" s="108" t="n"/>
      <c r="HE20" s="108" t="n"/>
      <c r="HF20" s="108" t="n"/>
      <c r="HG20" s="108" t="n"/>
      <c r="HH20" s="108" t="n"/>
      <c r="HI20" s="108" t="n"/>
      <c r="HJ20" s="108" t="n"/>
      <c r="HK20" s="108" t="n"/>
      <c r="HL20" s="108" t="n"/>
      <c r="HM20" s="108" t="n"/>
      <c r="HN20" s="108" t="n"/>
      <c r="HO20" s="108" t="n"/>
      <c r="HP20" s="108" t="n"/>
      <c r="HQ20" s="108" t="n"/>
      <c r="HR20" s="108" t="n"/>
      <c r="HS20" s="108" t="n"/>
      <c r="HT20" s="108" t="n"/>
      <c r="HU20" s="108" t="n"/>
      <c r="HV20" s="108" t="n"/>
      <c r="HW20" s="108" t="n"/>
      <c r="HX20" s="108" t="n"/>
      <c r="HY20" s="108" t="n"/>
      <c r="HZ20" s="108" t="n"/>
      <c r="IA20" s="108" t="n"/>
      <c r="XEZ20" s="110" t="n"/>
      <c r="XFA20" s="110" t="n"/>
      <c r="XFB20" s="110" t="n"/>
      <c r="XFC20" s="110" t="n"/>
      <c r="XFD20" s="110" t="n"/>
    </row>
    <row r="21" ht="15" customFormat="1" customHeight="1" s="111">
      <c r="A21" s="108" t="n"/>
      <c r="B21" s="108" t="n"/>
      <c r="C21" s="108" t="n"/>
      <c r="D21" s="142" t="n"/>
      <c r="E21" s="150" t="inlineStr">
        <is>
          <t>Mean</t>
        </is>
      </c>
      <c r="F21" s="108" t="n"/>
      <c r="G21" s="151">
        <f>AVERAGE(G6:G8)</f>
        <v/>
      </c>
      <c r="H21" s="110" t="n"/>
      <c r="I21" s="117" t="n"/>
      <c r="J21" s="117" t="n"/>
      <c r="K21" s="117" t="n"/>
      <c r="L21" s="117" t="n"/>
      <c r="M21" s="117" t="n"/>
      <c r="N21" s="117" t="n"/>
      <c r="O21" s="117" t="n"/>
      <c r="P21" s="117" t="n"/>
      <c r="Q21" s="117" t="n"/>
      <c r="R21" s="117" t="n"/>
      <c r="S21" s="117" t="n"/>
      <c r="T21" s="117" t="n"/>
      <c r="U21" s="117" t="n"/>
      <c r="V21" s="117" t="n"/>
      <c r="W21" s="117" t="n"/>
      <c r="X21" s="117" t="n"/>
      <c r="Y21" s="117" t="n"/>
      <c r="Z21" s="117" t="n"/>
      <c r="AA21" s="117" t="n"/>
      <c r="AB21" s="117" t="n"/>
      <c r="AC21" s="117" t="n"/>
      <c r="AD21" s="117" t="n"/>
      <c r="AE21" s="108" t="n"/>
      <c r="AF21" s="108" t="n"/>
      <c r="AG21" s="108" t="n"/>
      <c r="AH21" s="108" t="n"/>
      <c r="AI21" s="108" t="n"/>
      <c r="AJ21" s="108" t="n"/>
      <c r="AK21" s="108" t="n"/>
      <c r="AL21" s="108" t="n"/>
      <c r="AM21" s="108" t="n"/>
      <c r="AN21" s="108" t="n"/>
      <c r="AO21" s="108" t="n"/>
      <c r="AP21" s="108" t="n"/>
      <c r="AQ21" s="108" t="n"/>
      <c r="AR21" s="108" t="n"/>
      <c r="AS21" s="108" t="n"/>
      <c r="AT21" s="108" t="n"/>
      <c r="AU21" s="108" t="n"/>
      <c r="AV21" s="108" t="n"/>
      <c r="AW21" s="108" t="n"/>
      <c r="AX21" s="108" t="n"/>
      <c r="AY21" s="108" t="n"/>
      <c r="AZ21" s="108" t="n"/>
      <c r="BA21" s="108" t="n"/>
      <c r="BB21" s="108" t="n"/>
      <c r="BC21" s="108" t="n"/>
      <c r="BD21" s="108" t="n"/>
      <c r="BE21" s="108" t="n"/>
      <c r="BF21" s="108" t="n"/>
      <c r="BG21" s="108" t="n"/>
      <c r="BH21" s="108" t="n"/>
      <c r="BI21" s="108" t="n"/>
      <c r="BJ21" s="108" t="n"/>
      <c r="BK21" s="108" t="n"/>
      <c r="BL21" s="108" t="n"/>
      <c r="BM21" s="108" t="n"/>
      <c r="BN21" s="108" t="n"/>
      <c r="BO21" s="108" t="n"/>
      <c r="BP21" s="108" t="n"/>
      <c r="BQ21" s="108" t="n"/>
      <c r="BR21" s="108" t="n"/>
      <c r="BS21" s="108" t="n"/>
      <c r="BT21" s="108" t="n"/>
      <c r="BU21" s="108" t="n"/>
      <c r="BV21" s="108" t="n"/>
      <c r="BW21" s="108" t="n"/>
      <c r="BX21" s="108" t="n"/>
      <c r="BY21" s="108" t="n"/>
      <c r="BZ21" s="108" t="n"/>
      <c r="CA21" s="108" t="n"/>
      <c r="CB21" s="108" t="n"/>
      <c r="CC21" s="108" t="n"/>
      <c r="CD21" s="108" t="n"/>
      <c r="CE21" s="108" t="n"/>
      <c r="CF21" s="108" t="n"/>
      <c r="CG21" s="108" t="n"/>
      <c r="CH21" s="108" t="n"/>
      <c r="CI21" s="108" t="n"/>
      <c r="CJ21" s="108" t="n"/>
      <c r="CK21" s="108" t="n"/>
      <c r="CL21" s="108" t="n"/>
      <c r="CM21" s="108" t="n"/>
      <c r="CN21" s="108" t="n"/>
      <c r="CO21" s="108" t="n"/>
      <c r="CP21" s="108" t="n"/>
      <c r="CQ21" s="108" t="n"/>
      <c r="CR21" s="108" t="n"/>
      <c r="CS21" s="108" t="n"/>
      <c r="CT21" s="108" t="n"/>
      <c r="CU21" s="108" t="n"/>
      <c r="CV21" s="108" t="n"/>
      <c r="CW21" s="108" t="n"/>
      <c r="CX21" s="108" t="n"/>
      <c r="CY21" s="108" t="n"/>
      <c r="CZ21" s="108" t="n"/>
      <c r="DA21" s="108" t="n"/>
      <c r="DB21" s="108" t="n"/>
      <c r="DC21" s="108" t="n"/>
      <c r="DD21" s="108" t="n"/>
      <c r="DE21" s="108" t="n"/>
      <c r="DF21" s="108" t="n"/>
      <c r="DG21" s="108" t="n"/>
      <c r="DH21" s="108" t="n"/>
      <c r="DI21" s="108" t="n"/>
      <c r="DJ21" s="108" t="n"/>
      <c r="DK21" s="108" t="n"/>
      <c r="DL21" s="108" t="n"/>
      <c r="DM21" s="108" t="n"/>
      <c r="DN21" s="108" t="n"/>
      <c r="DO21" s="108" t="n"/>
      <c r="DP21" s="108" t="n"/>
      <c r="DQ21" s="108" t="n"/>
      <c r="DR21" s="108" t="n"/>
      <c r="DS21" s="108" t="n"/>
      <c r="DT21" s="108" t="n"/>
      <c r="DU21" s="108" t="n"/>
      <c r="DV21" s="108" t="n"/>
      <c r="DW21" s="108" t="n"/>
      <c r="DX21" s="108" t="n"/>
      <c r="DY21" s="108" t="n"/>
      <c r="DZ21" s="108" t="n"/>
      <c r="EA21" s="108" t="n"/>
      <c r="EB21" s="108" t="n"/>
      <c r="EC21" s="108" t="n"/>
      <c r="ED21" s="108" t="n"/>
      <c r="EE21" s="108" t="n"/>
      <c r="EF21" s="108" t="n"/>
      <c r="EG21" s="108" t="n"/>
      <c r="EH21" s="108" t="n"/>
      <c r="EI21" s="108" t="n"/>
      <c r="EJ21" s="108" t="n"/>
      <c r="EK21" s="108" t="n"/>
      <c r="EL21" s="108" t="n"/>
      <c r="EM21" s="108" t="n"/>
      <c r="EN21" s="108" t="n"/>
      <c r="EO21" s="108" t="n"/>
      <c r="EP21" s="108" t="n"/>
      <c r="EQ21" s="108" t="n"/>
      <c r="ER21" s="108" t="n"/>
      <c r="ES21" s="108" t="n"/>
      <c r="ET21" s="108" t="n"/>
      <c r="EU21" s="108" t="n"/>
      <c r="EV21" s="108" t="n"/>
      <c r="EW21" s="108" t="n"/>
      <c r="EX21" s="108" t="n"/>
      <c r="EY21" s="108" t="n"/>
      <c r="EZ21" s="108" t="n"/>
      <c r="FA21" s="108" t="n"/>
      <c r="FB21" s="108" t="n"/>
      <c r="FC21" s="108" t="n"/>
      <c r="FD21" s="108" t="n"/>
      <c r="FE21" s="108" t="n"/>
      <c r="FF21" s="108" t="n"/>
      <c r="FG21" s="108" t="n"/>
      <c r="FH21" s="108" t="n"/>
      <c r="FI21" s="108" t="n"/>
      <c r="FJ21" s="108" t="n"/>
      <c r="FK21" s="108" t="n"/>
      <c r="FL21" s="108" t="n"/>
      <c r="FM21" s="108" t="n"/>
      <c r="FN21" s="108" t="n"/>
      <c r="FO21" s="108" t="n"/>
      <c r="FP21" s="108" t="n"/>
      <c r="FQ21" s="108" t="n"/>
      <c r="FR21" s="108" t="n"/>
      <c r="FS21" s="108" t="n"/>
      <c r="FT21" s="108" t="n"/>
      <c r="FU21" s="108" t="n"/>
      <c r="FV21" s="108" t="n"/>
      <c r="FW21" s="108" t="n"/>
      <c r="FX21" s="108" t="n"/>
      <c r="FY21" s="108" t="n"/>
      <c r="FZ21" s="108" t="n"/>
      <c r="GA21" s="108" t="n"/>
      <c r="GB21" s="108" t="n"/>
      <c r="GC21" s="108" t="n"/>
      <c r="GD21" s="108" t="n"/>
      <c r="GE21" s="108" t="n"/>
      <c r="GF21" s="108" t="n"/>
      <c r="GG21" s="108" t="n"/>
      <c r="GH21" s="108" t="n"/>
      <c r="GI21" s="108" t="n"/>
      <c r="GJ21" s="108" t="n"/>
      <c r="GK21" s="108" t="n"/>
      <c r="GL21" s="108" t="n"/>
      <c r="GM21" s="108" t="n"/>
      <c r="GN21" s="108" t="n"/>
      <c r="GO21" s="108" t="n"/>
      <c r="GP21" s="108" t="n"/>
      <c r="GQ21" s="108" t="n"/>
      <c r="GR21" s="108" t="n"/>
      <c r="GS21" s="108" t="n"/>
      <c r="GT21" s="108" t="n"/>
      <c r="GU21" s="108" t="n"/>
      <c r="GV21" s="108" t="n"/>
      <c r="GW21" s="108" t="n"/>
      <c r="GX21" s="108" t="n"/>
      <c r="GY21" s="108" t="n"/>
      <c r="GZ21" s="108" t="n"/>
      <c r="HA21" s="108" t="n"/>
      <c r="HB21" s="108" t="n"/>
      <c r="HC21" s="108" t="n"/>
      <c r="HD21" s="108" t="n"/>
      <c r="HE21" s="108" t="n"/>
      <c r="HF21" s="108" t="n"/>
      <c r="HG21" s="108" t="n"/>
      <c r="HH21" s="108" t="n"/>
      <c r="HI21" s="108" t="n"/>
      <c r="HJ21" s="108" t="n"/>
      <c r="HK21" s="108" t="n"/>
      <c r="HL21" s="108" t="n"/>
      <c r="HM21" s="108" t="n"/>
      <c r="HN21" s="108" t="n"/>
      <c r="HO21" s="108" t="n"/>
      <c r="HP21" s="108" t="n"/>
      <c r="HQ21" s="108" t="n"/>
      <c r="HR21" s="108" t="n"/>
      <c r="HS21" s="108" t="n"/>
      <c r="HT21" s="108" t="n"/>
      <c r="HU21" s="108" t="n"/>
      <c r="HV21" s="108" t="n"/>
      <c r="HW21" s="108" t="n"/>
      <c r="HX21" s="108" t="n"/>
      <c r="HY21" s="108" t="n"/>
      <c r="HZ21" s="108" t="n"/>
      <c r="IA21" s="108" t="n"/>
      <c r="XEZ21" s="110" t="n"/>
      <c r="XFA21" s="110" t="n"/>
      <c r="XFB21" s="110" t="n"/>
      <c r="XFC21" s="110" t="n"/>
      <c r="XFD21" s="110" t="n"/>
    </row>
    <row r="22" ht="15" customFormat="1" customHeight="1" s="111">
      <c r="A22" s="108" t="n"/>
      <c r="B22" s="108" t="n"/>
      <c r="C22" s="108" t="n"/>
      <c r="D22" s="142" t="n"/>
      <c r="E22" s="150" t="inlineStr">
        <is>
          <t>Standard Deviation</t>
        </is>
      </c>
      <c r="F22" s="108" t="n"/>
      <c r="G22" s="151">
        <f>STDEVP(G6:G8)</f>
        <v/>
      </c>
      <c r="H22" s="110" t="n"/>
      <c r="I22" s="117" t="n"/>
      <c r="J22" s="117" t="n"/>
      <c r="K22" s="117" t="n"/>
      <c r="L22" s="117" t="n"/>
      <c r="M22" s="117" t="n"/>
      <c r="N22" s="117" t="n"/>
      <c r="O22" s="117" t="n"/>
      <c r="P22" s="117" t="n"/>
      <c r="Q22" s="117" t="n"/>
      <c r="R22" s="117" t="n"/>
      <c r="S22" s="117" t="n"/>
      <c r="T22" s="117" t="n"/>
      <c r="U22" s="117" t="n"/>
      <c r="V22" s="117" t="n"/>
      <c r="W22" s="117" t="n"/>
      <c r="X22" s="117" t="n"/>
      <c r="Y22" s="117" t="n"/>
      <c r="Z22" s="117" t="n"/>
      <c r="AA22" s="117" t="n"/>
      <c r="AB22" s="117" t="n"/>
      <c r="AC22" s="117" t="n"/>
      <c r="AD22" s="117" t="n"/>
      <c r="AE22" s="108" t="n"/>
      <c r="AF22" s="108" t="n"/>
      <c r="AG22" s="108" t="n"/>
      <c r="AH22" s="108" t="n"/>
      <c r="AI22" s="108" t="n"/>
      <c r="AJ22" s="108" t="n"/>
      <c r="AK22" s="108" t="n"/>
      <c r="AL22" s="108" t="n"/>
      <c r="AM22" s="108" t="n"/>
      <c r="AN22" s="108" t="n"/>
      <c r="AO22" s="108" t="n"/>
      <c r="AP22" s="108" t="n"/>
      <c r="AQ22" s="108" t="n"/>
      <c r="AR22" s="108" t="n"/>
      <c r="AS22" s="108" t="n"/>
      <c r="AT22" s="108" t="n"/>
      <c r="AU22" s="108" t="n"/>
      <c r="AV22" s="108" t="n"/>
      <c r="AW22" s="108" t="n"/>
      <c r="AX22" s="108" t="n"/>
      <c r="AY22" s="108" t="n"/>
      <c r="AZ22" s="108" t="n"/>
      <c r="BA22" s="108" t="n"/>
      <c r="BB22" s="108" t="n"/>
      <c r="BC22" s="108" t="n"/>
      <c r="BD22" s="108" t="n"/>
      <c r="BE22" s="108" t="n"/>
      <c r="BF22" s="108" t="n"/>
      <c r="BG22" s="108" t="n"/>
      <c r="BH22" s="108" t="n"/>
      <c r="BI22" s="108" t="n"/>
      <c r="BJ22" s="108" t="n"/>
      <c r="BK22" s="108" t="n"/>
      <c r="BL22" s="108" t="n"/>
      <c r="BM22" s="108" t="n"/>
      <c r="BN22" s="108" t="n"/>
      <c r="BO22" s="108" t="n"/>
      <c r="BP22" s="108" t="n"/>
      <c r="BQ22" s="108" t="n"/>
      <c r="BR22" s="108" t="n"/>
      <c r="BS22" s="108" t="n"/>
      <c r="BT22" s="108" t="n"/>
      <c r="BU22" s="108" t="n"/>
      <c r="BV22" s="108" t="n"/>
      <c r="BW22" s="108" t="n"/>
      <c r="BX22" s="108" t="n"/>
      <c r="BY22" s="108" t="n"/>
      <c r="BZ22" s="108" t="n"/>
      <c r="CA22" s="108" t="n"/>
      <c r="CB22" s="108" t="n"/>
      <c r="CC22" s="108" t="n"/>
      <c r="CD22" s="108" t="n"/>
      <c r="CE22" s="108" t="n"/>
      <c r="CF22" s="108" t="n"/>
      <c r="CG22" s="108" t="n"/>
      <c r="CH22" s="108" t="n"/>
      <c r="CI22" s="108" t="n"/>
      <c r="CJ22" s="108" t="n"/>
      <c r="CK22" s="108" t="n"/>
      <c r="CL22" s="108" t="n"/>
      <c r="CM22" s="108" t="n"/>
      <c r="CN22" s="108" t="n"/>
      <c r="CO22" s="108" t="n"/>
      <c r="CP22" s="108" t="n"/>
      <c r="CQ22" s="108" t="n"/>
      <c r="CR22" s="108" t="n"/>
      <c r="CS22" s="108" t="n"/>
      <c r="CT22" s="108" t="n"/>
      <c r="CU22" s="108" t="n"/>
      <c r="CV22" s="108" t="n"/>
      <c r="CW22" s="108" t="n"/>
      <c r="CX22" s="108" t="n"/>
      <c r="CY22" s="108" t="n"/>
      <c r="CZ22" s="108" t="n"/>
      <c r="DA22" s="108" t="n"/>
      <c r="DB22" s="108" t="n"/>
      <c r="DC22" s="108" t="n"/>
      <c r="DD22" s="108" t="n"/>
      <c r="DE22" s="108" t="n"/>
      <c r="DF22" s="108" t="n"/>
      <c r="DG22" s="108" t="n"/>
      <c r="DH22" s="108" t="n"/>
      <c r="DI22" s="108" t="n"/>
      <c r="DJ22" s="108" t="n"/>
      <c r="DK22" s="108" t="n"/>
      <c r="DL22" s="108" t="n"/>
      <c r="DM22" s="108" t="n"/>
      <c r="DN22" s="108" t="n"/>
      <c r="DO22" s="108" t="n"/>
      <c r="DP22" s="108" t="n"/>
      <c r="DQ22" s="108" t="n"/>
      <c r="DR22" s="108" t="n"/>
      <c r="DS22" s="108" t="n"/>
      <c r="DT22" s="108" t="n"/>
      <c r="DU22" s="108" t="n"/>
      <c r="DV22" s="108" t="n"/>
      <c r="DW22" s="108" t="n"/>
      <c r="DX22" s="108" t="n"/>
      <c r="DY22" s="108" t="n"/>
      <c r="DZ22" s="108" t="n"/>
      <c r="EA22" s="108" t="n"/>
      <c r="EB22" s="108" t="n"/>
      <c r="EC22" s="108" t="n"/>
      <c r="ED22" s="108" t="n"/>
      <c r="EE22" s="108" t="n"/>
      <c r="EF22" s="108" t="n"/>
      <c r="EG22" s="108" t="n"/>
      <c r="EH22" s="108" t="n"/>
      <c r="EI22" s="108" t="n"/>
      <c r="EJ22" s="108" t="n"/>
      <c r="EK22" s="108" t="n"/>
      <c r="EL22" s="108" t="n"/>
      <c r="EM22" s="108" t="n"/>
      <c r="EN22" s="108" t="n"/>
      <c r="EO22" s="108" t="n"/>
      <c r="EP22" s="108" t="n"/>
      <c r="EQ22" s="108" t="n"/>
      <c r="ER22" s="108" t="n"/>
      <c r="ES22" s="108" t="n"/>
      <c r="ET22" s="108" t="n"/>
      <c r="EU22" s="108" t="n"/>
      <c r="EV22" s="108" t="n"/>
      <c r="EW22" s="108" t="n"/>
      <c r="EX22" s="108" t="n"/>
      <c r="EY22" s="108" t="n"/>
      <c r="EZ22" s="108" t="n"/>
      <c r="FA22" s="108" t="n"/>
      <c r="FB22" s="108" t="n"/>
      <c r="FC22" s="108" t="n"/>
      <c r="FD22" s="108" t="n"/>
      <c r="FE22" s="108" t="n"/>
      <c r="FF22" s="108" t="n"/>
      <c r="FG22" s="108" t="n"/>
      <c r="FH22" s="108" t="n"/>
      <c r="FI22" s="108" t="n"/>
      <c r="FJ22" s="108" t="n"/>
      <c r="FK22" s="108" t="n"/>
      <c r="FL22" s="108" t="n"/>
      <c r="FM22" s="108" t="n"/>
      <c r="FN22" s="108" t="n"/>
      <c r="FO22" s="108" t="n"/>
      <c r="FP22" s="108" t="n"/>
      <c r="FQ22" s="108" t="n"/>
      <c r="FR22" s="108" t="n"/>
      <c r="FS22" s="108" t="n"/>
      <c r="FT22" s="108" t="n"/>
      <c r="FU22" s="108" t="n"/>
      <c r="FV22" s="108" t="n"/>
      <c r="FW22" s="108" t="n"/>
      <c r="FX22" s="108" t="n"/>
      <c r="FY22" s="108" t="n"/>
      <c r="FZ22" s="108" t="n"/>
      <c r="GA22" s="108" t="n"/>
      <c r="GB22" s="108" t="n"/>
      <c r="GC22" s="108" t="n"/>
      <c r="GD22" s="108" t="n"/>
      <c r="GE22" s="108" t="n"/>
      <c r="GF22" s="108" t="n"/>
      <c r="GG22" s="108" t="n"/>
      <c r="GH22" s="108" t="n"/>
      <c r="GI22" s="108" t="n"/>
      <c r="GJ22" s="108" t="n"/>
      <c r="GK22" s="108" t="n"/>
      <c r="GL22" s="108" t="n"/>
      <c r="GM22" s="108" t="n"/>
      <c r="GN22" s="108" t="n"/>
      <c r="GO22" s="108" t="n"/>
      <c r="GP22" s="108" t="n"/>
      <c r="GQ22" s="108" t="n"/>
      <c r="GR22" s="108" t="n"/>
      <c r="GS22" s="108" t="n"/>
      <c r="GT22" s="108" t="n"/>
      <c r="GU22" s="108" t="n"/>
      <c r="GV22" s="108" t="n"/>
      <c r="GW22" s="108" t="n"/>
      <c r="GX22" s="108" t="n"/>
      <c r="GY22" s="108" t="n"/>
      <c r="GZ22" s="108" t="n"/>
      <c r="HA22" s="108" t="n"/>
      <c r="HB22" s="108" t="n"/>
      <c r="HC22" s="108" t="n"/>
      <c r="HD22" s="108" t="n"/>
      <c r="HE22" s="108" t="n"/>
      <c r="HF22" s="108" t="n"/>
      <c r="HG22" s="108" t="n"/>
      <c r="HH22" s="108" t="n"/>
      <c r="HI22" s="108" t="n"/>
      <c r="HJ22" s="108" t="n"/>
      <c r="HK22" s="108" t="n"/>
      <c r="HL22" s="108" t="n"/>
      <c r="HM22" s="108" t="n"/>
      <c r="HN22" s="108" t="n"/>
      <c r="HO22" s="108" t="n"/>
      <c r="HP22" s="108" t="n"/>
      <c r="HQ22" s="108" t="n"/>
      <c r="HR22" s="108" t="n"/>
      <c r="HS22" s="108" t="n"/>
      <c r="HT22" s="108" t="n"/>
      <c r="HU22" s="108" t="n"/>
      <c r="HV22" s="108" t="n"/>
      <c r="HW22" s="108" t="n"/>
      <c r="HX22" s="108" t="n"/>
      <c r="HY22" s="108" t="n"/>
      <c r="HZ22" s="108" t="n"/>
      <c r="IA22" s="108" t="n"/>
      <c r="XEZ22" s="110" t="n"/>
      <c r="XFA22" s="110" t="n"/>
      <c r="XFB22" s="110" t="n"/>
      <c r="XFC22" s="110" t="n"/>
      <c r="XFD22" s="110" t="n"/>
    </row>
    <row r="23" ht="13.8" customFormat="1" customHeight="1" s="111">
      <c r="A23" s="108" t="n"/>
      <c r="B23" s="108" t="n"/>
      <c r="C23" s="108" t="n"/>
      <c r="D23" s="108" t="n"/>
      <c r="E23" s="108" t="n"/>
      <c r="F23" s="108" t="n"/>
      <c r="G23" s="140" t="n"/>
      <c r="H23" s="110" t="n"/>
      <c r="I23" s="117" t="n"/>
      <c r="J23" s="117" t="n"/>
      <c r="K23" s="117" t="n"/>
      <c r="L23" s="117" t="n"/>
      <c r="M23" s="117" t="n"/>
      <c r="N23" s="117" t="n"/>
      <c r="O23" s="117" t="n"/>
      <c r="P23" s="117" t="n"/>
      <c r="Q23" s="117" t="n"/>
      <c r="R23" s="117" t="n"/>
      <c r="S23" s="117" t="n"/>
      <c r="T23" s="117" t="n"/>
      <c r="U23" s="117" t="n"/>
      <c r="V23" s="117" t="n"/>
      <c r="W23" s="117" t="n"/>
      <c r="X23" s="117" t="n"/>
      <c r="Y23" s="117" t="n"/>
      <c r="Z23" s="117" t="n"/>
      <c r="AA23" s="117" t="n"/>
      <c r="AB23" s="117" t="n"/>
      <c r="AC23" s="117" t="n"/>
      <c r="AD23" s="117" t="n"/>
      <c r="AE23" s="108" t="n"/>
      <c r="AF23" s="108" t="n"/>
      <c r="AG23" s="108" t="n"/>
      <c r="AH23" s="108" t="n"/>
      <c r="AI23" s="108" t="n"/>
      <c r="AJ23" s="108" t="n"/>
      <c r="AK23" s="108" t="n"/>
      <c r="AL23" s="108" t="n"/>
      <c r="AM23" s="108" t="n"/>
      <c r="AN23" s="108" t="n"/>
      <c r="AO23" s="108" t="n"/>
      <c r="AP23" s="108" t="n"/>
      <c r="AQ23" s="108" t="n"/>
      <c r="AR23" s="108" t="n"/>
      <c r="AS23" s="108" t="n"/>
      <c r="AT23" s="108" t="n"/>
      <c r="AU23" s="108" t="n"/>
      <c r="AV23" s="108" t="n"/>
      <c r="AW23" s="108" t="n"/>
      <c r="AX23" s="108" t="n"/>
      <c r="AY23" s="108" t="n"/>
      <c r="AZ23" s="108" t="n"/>
      <c r="BA23" s="108" t="n"/>
      <c r="BB23" s="108" t="n"/>
      <c r="BC23" s="108" t="n"/>
      <c r="BD23" s="108" t="n"/>
      <c r="BE23" s="108" t="n"/>
      <c r="BF23" s="108" t="n"/>
      <c r="BG23" s="108" t="n"/>
      <c r="BH23" s="108" t="n"/>
      <c r="BI23" s="108" t="n"/>
      <c r="BJ23" s="108" t="n"/>
      <c r="BK23" s="108" t="n"/>
      <c r="BL23" s="108" t="n"/>
      <c r="BM23" s="108" t="n"/>
      <c r="BN23" s="108" t="n"/>
      <c r="BO23" s="108" t="n"/>
      <c r="BP23" s="108" t="n"/>
      <c r="BQ23" s="108" t="n"/>
      <c r="BR23" s="108" t="n"/>
      <c r="BS23" s="108" t="n"/>
      <c r="BT23" s="108" t="n"/>
      <c r="BU23" s="108" t="n"/>
      <c r="BV23" s="108" t="n"/>
      <c r="BW23" s="108" t="n"/>
      <c r="BX23" s="108" t="n"/>
      <c r="BY23" s="108" t="n"/>
      <c r="BZ23" s="108" t="n"/>
      <c r="CA23" s="108" t="n"/>
      <c r="CB23" s="108" t="n"/>
      <c r="CC23" s="108" t="n"/>
      <c r="CD23" s="108" t="n"/>
      <c r="CE23" s="108" t="n"/>
      <c r="CF23" s="108" t="n"/>
      <c r="CG23" s="108" t="n"/>
      <c r="CH23" s="108" t="n"/>
      <c r="CI23" s="108" t="n"/>
      <c r="CJ23" s="108" t="n"/>
      <c r="CK23" s="108" t="n"/>
      <c r="CL23" s="108" t="n"/>
      <c r="CM23" s="108" t="n"/>
      <c r="CN23" s="108" t="n"/>
      <c r="CO23" s="108" t="n"/>
      <c r="CP23" s="108" t="n"/>
      <c r="CQ23" s="108" t="n"/>
      <c r="CR23" s="108" t="n"/>
      <c r="CS23" s="108" t="n"/>
      <c r="CT23" s="108" t="n"/>
      <c r="CU23" s="108" t="n"/>
      <c r="CV23" s="108" t="n"/>
      <c r="CW23" s="108" t="n"/>
      <c r="CX23" s="108" t="n"/>
      <c r="CY23" s="108" t="n"/>
      <c r="CZ23" s="108" t="n"/>
      <c r="DA23" s="108" t="n"/>
      <c r="DB23" s="108" t="n"/>
      <c r="DC23" s="108" t="n"/>
      <c r="DD23" s="108" t="n"/>
      <c r="DE23" s="108" t="n"/>
      <c r="DF23" s="108" t="n"/>
      <c r="DG23" s="108" t="n"/>
      <c r="DH23" s="108" t="n"/>
      <c r="DI23" s="108" t="n"/>
      <c r="DJ23" s="108" t="n"/>
      <c r="DK23" s="108" t="n"/>
      <c r="DL23" s="108" t="n"/>
      <c r="DM23" s="108" t="n"/>
      <c r="DN23" s="108" t="n"/>
      <c r="DO23" s="108" t="n"/>
      <c r="DP23" s="108" t="n"/>
      <c r="DQ23" s="108" t="n"/>
      <c r="DR23" s="108" t="n"/>
      <c r="DS23" s="108" t="n"/>
      <c r="DT23" s="108" t="n"/>
      <c r="DU23" s="108" t="n"/>
      <c r="DV23" s="108" t="n"/>
      <c r="DW23" s="108" t="n"/>
      <c r="DX23" s="108" t="n"/>
      <c r="DY23" s="108" t="n"/>
      <c r="DZ23" s="108" t="n"/>
      <c r="EA23" s="108" t="n"/>
      <c r="EB23" s="108" t="n"/>
      <c r="EC23" s="108" t="n"/>
      <c r="ED23" s="108" t="n"/>
      <c r="EE23" s="108" t="n"/>
      <c r="EF23" s="108" t="n"/>
      <c r="EG23" s="108" t="n"/>
      <c r="EH23" s="108" t="n"/>
      <c r="EI23" s="108" t="n"/>
      <c r="EJ23" s="108" t="n"/>
      <c r="EK23" s="108" t="n"/>
      <c r="EL23" s="108" t="n"/>
      <c r="EM23" s="108" t="n"/>
      <c r="EN23" s="108" t="n"/>
      <c r="EO23" s="108" t="n"/>
      <c r="EP23" s="108" t="n"/>
      <c r="EQ23" s="108" t="n"/>
      <c r="ER23" s="108" t="n"/>
      <c r="ES23" s="108" t="n"/>
      <c r="ET23" s="108" t="n"/>
      <c r="EU23" s="108" t="n"/>
      <c r="EV23" s="108" t="n"/>
      <c r="EW23" s="108" t="n"/>
      <c r="EX23" s="108" t="n"/>
      <c r="EY23" s="108" t="n"/>
      <c r="EZ23" s="108" t="n"/>
      <c r="FA23" s="108" t="n"/>
      <c r="FB23" s="108" t="n"/>
      <c r="FC23" s="108" t="n"/>
      <c r="FD23" s="108" t="n"/>
      <c r="FE23" s="108" t="n"/>
      <c r="FF23" s="108" t="n"/>
      <c r="FG23" s="108" t="n"/>
      <c r="FH23" s="108" t="n"/>
      <c r="FI23" s="108" t="n"/>
      <c r="FJ23" s="108" t="n"/>
      <c r="FK23" s="108" t="n"/>
      <c r="FL23" s="108" t="n"/>
      <c r="FM23" s="108" t="n"/>
      <c r="FN23" s="108" t="n"/>
      <c r="FO23" s="108" t="n"/>
      <c r="FP23" s="108" t="n"/>
      <c r="FQ23" s="108" t="n"/>
      <c r="FR23" s="108" t="n"/>
      <c r="FS23" s="108" t="n"/>
      <c r="FT23" s="108" t="n"/>
      <c r="FU23" s="108" t="n"/>
      <c r="FV23" s="108" t="n"/>
      <c r="FW23" s="108" t="n"/>
      <c r="FX23" s="108" t="n"/>
      <c r="FY23" s="108" t="n"/>
      <c r="FZ23" s="108" t="n"/>
      <c r="GA23" s="108" t="n"/>
      <c r="GB23" s="108" t="n"/>
      <c r="GC23" s="108" t="n"/>
      <c r="GD23" s="108" t="n"/>
      <c r="GE23" s="108" t="n"/>
      <c r="GF23" s="108" t="n"/>
      <c r="GG23" s="108" t="n"/>
      <c r="GH23" s="108" t="n"/>
      <c r="GI23" s="108" t="n"/>
      <c r="GJ23" s="108" t="n"/>
      <c r="GK23" s="108" t="n"/>
      <c r="GL23" s="108" t="n"/>
      <c r="GM23" s="108" t="n"/>
      <c r="GN23" s="108" t="n"/>
      <c r="GO23" s="108" t="n"/>
      <c r="GP23" s="108" t="n"/>
      <c r="GQ23" s="108" t="n"/>
      <c r="GR23" s="108" t="n"/>
      <c r="GS23" s="108" t="n"/>
      <c r="GT23" s="108" t="n"/>
      <c r="GU23" s="108" t="n"/>
      <c r="GV23" s="108" t="n"/>
      <c r="GW23" s="108" t="n"/>
      <c r="GX23" s="108" t="n"/>
      <c r="GY23" s="108" t="n"/>
      <c r="GZ23" s="108" t="n"/>
      <c r="HA23" s="108" t="n"/>
      <c r="HB23" s="108" t="n"/>
      <c r="HC23" s="108" t="n"/>
      <c r="HD23" s="108" t="n"/>
      <c r="HE23" s="108" t="n"/>
      <c r="HF23" s="108" t="n"/>
      <c r="HG23" s="108" t="n"/>
      <c r="HH23" s="108" t="n"/>
      <c r="HI23" s="108" t="n"/>
      <c r="HJ23" s="108" t="n"/>
      <c r="HK23" s="108" t="n"/>
      <c r="HL23" s="108" t="n"/>
      <c r="HM23" s="108" t="n"/>
      <c r="HN23" s="108" t="n"/>
      <c r="HO23" s="108" t="n"/>
      <c r="HP23" s="108" t="n"/>
      <c r="HQ23" s="108" t="n"/>
      <c r="HR23" s="108" t="n"/>
      <c r="HS23" s="108" t="n"/>
      <c r="HT23" s="108" t="n"/>
      <c r="HU23" s="108" t="n"/>
      <c r="HV23" s="108" t="n"/>
      <c r="HW23" s="108" t="n"/>
      <c r="HX23" s="108" t="n"/>
      <c r="HY23" s="108" t="n"/>
      <c r="HZ23" s="108" t="n"/>
      <c r="IA23" s="108" t="n"/>
      <c r="XEZ23" s="110" t="n"/>
      <c r="XFA23" s="110" t="n"/>
      <c r="XFB23" s="110" t="n"/>
      <c r="XFC23" s="110" t="n"/>
      <c r="XFD23" s="110" t="n"/>
    </row>
    <row r="24" ht="13.8" customFormat="1" customHeight="1" s="111">
      <c r="A24" s="108" t="n"/>
      <c r="B24" s="108" t="n"/>
      <c r="C24" s="108" t="n"/>
      <c r="D24" s="108" t="n"/>
      <c r="E24" s="108" t="n"/>
      <c r="F24" s="108" t="n"/>
      <c r="G24" s="140" t="n"/>
      <c r="H24" s="110" t="n"/>
      <c r="I24" s="117" t="n"/>
      <c r="J24" s="117" t="n"/>
      <c r="K24" s="117" t="n"/>
      <c r="L24" s="117" t="n"/>
      <c r="M24" s="117" t="n"/>
      <c r="N24" s="117" t="n"/>
      <c r="O24" s="117" t="n"/>
      <c r="P24" s="117" t="n"/>
      <c r="Q24" s="117" t="n"/>
      <c r="R24" s="117" t="n"/>
      <c r="S24" s="117" t="n"/>
      <c r="T24" s="117" t="n"/>
      <c r="U24" s="117" t="n"/>
      <c r="V24" s="117" t="n"/>
      <c r="W24" s="117" t="n"/>
      <c r="X24" s="117" t="n"/>
      <c r="Y24" s="117" t="n"/>
      <c r="Z24" s="117" t="n"/>
      <c r="AA24" s="117" t="n"/>
      <c r="AB24" s="117" t="n"/>
      <c r="AC24" s="117" t="n"/>
      <c r="AD24" s="117" t="n"/>
      <c r="AE24" s="108" t="n"/>
      <c r="AF24" s="108" t="n"/>
      <c r="AG24" s="108" t="n"/>
      <c r="AH24" s="108" t="n"/>
      <c r="AI24" s="108" t="n"/>
      <c r="AJ24" s="108" t="n"/>
      <c r="AK24" s="108" t="n"/>
      <c r="AL24" s="108" t="n"/>
      <c r="AM24" s="108" t="n"/>
      <c r="AN24" s="108" t="n"/>
      <c r="AO24" s="108" t="n"/>
      <c r="AP24" s="108" t="n"/>
      <c r="AQ24" s="108" t="n"/>
      <c r="AR24" s="108" t="n"/>
      <c r="AS24" s="108" t="n"/>
      <c r="AT24" s="108" t="n"/>
      <c r="AU24" s="108" t="n"/>
      <c r="AV24" s="108" t="n"/>
      <c r="AW24" s="108" t="n"/>
      <c r="AX24" s="108" t="n"/>
      <c r="AY24" s="108" t="n"/>
      <c r="AZ24" s="108" t="n"/>
      <c r="BA24" s="108" t="n"/>
      <c r="BB24" s="108" t="n"/>
      <c r="BC24" s="108" t="n"/>
      <c r="BD24" s="108" t="n"/>
      <c r="BE24" s="108" t="n"/>
      <c r="BF24" s="108" t="n"/>
      <c r="BG24" s="108" t="n"/>
      <c r="BH24" s="108" t="n"/>
      <c r="BI24" s="108" t="n"/>
      <c r="BJ24" s="108" t="n"/>
      <c r="BK24" s="108" t="n"/>
      <c r="BL24" s="108" t="n"/>
      <c r="BM24" s="108" t="n"/>
      <c r="BN24" s="108" t="n"/>
      <c r="BO24" s="108" t="n"/>
      <c r="BP24" s="108" t="n"/>
      <c r="BQ24" s="108" t="n"/>
      <c r="BR24" s="108" t="n"/>
      <c r="BS24" s="108" t="n"/>
      <c r="BT24" s="108" t="n"/>
      <c r="BU24" s="108" t="n"/>
      <c r="BV24" s="108" t="n"/>
      <c r="BW24" s="108" t="n"/>
      <c r="BX24" s="108" t="n"/>
      <c r="BY24" s="108" t="n"/>
      <c r="BZ24" s="108" t="n"/>
      <c r="CA24" s="108" t="n"/>
      <c r="CB24" s="108" t="n"/>
      <c r="CC24" s="108" t="n"/>
      <c r="CD24" s="108" t="n"/>
      <c r="CE24" s="108" t="n"/>
      <c r="CF24" s="108" t="n"/>
      <c r="CG24" s="108" t="n"/>
      <c r="CH24" s="108" t="n"/>
      <c r="CI24" s="108" t="n"/>
      <c r="CJ24" s="108" t="n"/>
      <c r="CK24" s="108" t="n"/>
      <c r="CL24" s="108" t="n"/>
      <c r="CM24" s="108" t="n"/>
      <c r="CN24" s="108" t="n"/>
      <c r="CO24" s="108" t="n"/>
      <c r="CP24" s="108" t="n"/>
      <c r="CQ24" s="108" t="n"/>
      <c r="CR24" s="108" t="n"/>
      <c r="CS24" s="108" t="n"/>
      <c r="CT24" s="108" t="n"/>
      <c r="CU24" s="108" t="n"/>
      <c r="CV24" s="108" t="n"/>
      <c r="CW24" s="108" t="n"/>
      <c r="CX24" s="108" t="n"/>
      <c r="CY24" s="108" t="n"/>
      <c r="CZ24" s="108" t="n"/>
      <c r="DA24" s="108" t="n"/>
      <c r="DB24" s="108" t="n"/>
      <c r="DC24" s="108" t="n"/>
      <c r="DD24" s="108" t="n"/>
      <c r="DE24" s="108" t="n"/>
      <c r="DF24" s="108" t="n"/>
      <c r="DG24" s="108" t="n"/>
      <c r="DH24" s="108" t="n"/>
      <c r="DI24" s="108" t="n"/>
      <c r="DJ24" s="108" t="n"/>
      <c r="DK24" s="108" t="n"/>
      <c r="DL24" s="108" t="n"/>
      <c r="DM24" s="108" t="n"/>
      <c r="DN24" s="108" t="n"/>
      <c r="DO24" s="108" t="n"/>
      <c r="DP24" s="108" t="n"/>
      <c r="DQ24" s="108" t="n"/>
      <c r="DR24" s="108" t="n"/>
      <c r="DS24" s="108" t="n"/>
      <c r="DT24" s="108" t="n"/>
      <c r="DU24" s="108" t="n"/>
      <c r="DV24" s="108" t="n"/>
      <c r="DW24" s="108" t="n"/>
      <c r="DX24" s="108" t="n"/>
      <c r="DY24" s="108" t="n"/>
      <c r="DZ24" s="108" t="n"/>
      <c r="EA24" s="108" t="n"/>
      <c r="EB24" s="108" t="n"/>
      <c r="EC24" s="108" t="n"/>
      <c r="ED24" s="108" t="n"/>
      <c r="EE24" s="108" t="n"/>
      <c r="EF24" s="108" t="n"/>
      <c r="EG24" s="108" t="n"/>
      <c r="EH24" s="108" t="n"/>
      <c r="EI24" s="108" t="n"/>
      <c r="EJ24" s="108" t="n"/>
      <c r="EK24" s="108" t="n"/>
      <c r="EL24" s="108" t="n"/>
      <c r="EM24" s="108" t="n"/>
      <c r="EN24" s="108" t="n"/>
      <c r="EO24" s="108" t="n"/>
      <c r="EP24" s="108" t="n"/>
      <c r="EQ24" s="108" t="n"/>
      <c r="ER24" s="108" t="n"/>
      <c r="ES24" s="108" t="n"/>
      <c r="ET24" s="108" t="n"/>
      <c r="EU24" s="108" t="n"/>
      <c r="EV24" s="108" t="n"/>
      <c r="EW24" s="108" t="n"/>
      <c r="EX24" s="108" t="n"/>
      <c r="EY24" s="108" t="n"/>
      <c r="EZ24" s="108" t="n"/>
      <c r="FA24" s="108" t="n"/>
      <c r="FB24" s="108" t="n"/>
      <c r="FC24" s="108" t="n"/>
      <c r="FD24" s="108" t="n"/>
      <c r="FE24" s="108" t="n"/>
      <c r="FF24" s="108" t="n"/>
      <c r="FG24" s="108" t="n"/>
      <c r="FH24" s="108" t="n"/>
      <c r="FI24" s="108" t="n"/>
      <c r="FJ24" s="108" t="n"/>
      <c r="FK24" s="108" t="n"/>
      <c r="FL24" s="108" t="n"/>
      <c r="FM24" s="108" t="n"/>
      <c r="FN24" s="108" t="n"/>
      <c r="FO24" s="108" t="n"/>
      <c r="FP24" s="108" t="n"/>
      <c r="FQ24" s="108" t="n"/>
      <c r="FR24" s="108" t="n"/>
      <c r="FS24" s="108" t="n"/>
      <c r="FT24" s="108" t="n"/>
      <c r="FU24" s="108" t="n"/>
      <c r="FV24" s="108" t="n"/>
      <c r="FW24" s="108" t="n"/>
      <c r="FX24" s="108" t="n"/>
      <c r="FY24" s="108" t="n"/>
      <c r="FZ24" s="108" t="n"/>
      <c r="GA24" s="108" t="n"/>
      <c r="GB24" s="108" t="n"/>
      <c r="GC24" s="108" t="n"/>
      <c r="GD24" s="108" t="n"/>
      <c r="GE24" s="108" t="n"/>
      <c r="GF24" s="108" t="n"/>
      <c r="GG24" s="108" t="n"/>
      <c r="GH24" s="108" t="n"/>
      <c r="GI24" s="108" t="n"/>
      <c r="GJ24" s="108" t="n"/>
      <c r="GK24" s="108" t="n"/>
      <c r="GL24" s="108" t="n"/>
      <c r="GM24" s="108" t="n"/>
      <c r="GN24" s="108" t="n"/>
      <c r="GO24" s="108" t="n"/>
      <c r="GP24" s="108" t="n"/>
      <c r="GQ24" s="108" t="n"/>
      <c r="GR24" s="108" t="n"/>
      <c r="GS24" s="108" t="n"/>
      <c r="GT24" s="108" t="n"/>
      <c r="GU24" s="108" t="n"/>
      <c r="GV24" s="108" t="n"/>
      <c r="GW24" s="108" t="n"/>
      <c r="GX24" s="108" t="n"/>
      <c r="GY24" s="108" t="n"/>
      <c r="GZ24" s="108" t="n"/>
      <c r="HA24" s="108" t="n"/>
      <c r="HB24" s="108" t="n"/>
      <c r="HC24" s="108" t="n"/>
      <c r="HD24" s="108" t="n"/>
      <c r="HE24" s="108" t="n"/>
      <c r="HF24" s="108" t="n"/>
      <c r="HG24" s="108" t="n"/>
      <c r="HH24" s="108" t="n"/>
      <c r="HI24" s="108" t="n"/>
      <c r="HJ24" s="108" t="n"/>
      <c r="HK24" s="108" t="n"/>
      <c r="HL24" s="108" t="n"/>
      <c r="HM24" s="108" t="n"/>
      <c r="HN24" s="108" t="n"/>
      <c r="HO24" s="108" t="n"/>
      <c r="HP24" s="108" t="n"/>
      <c r="HQ24" s="108" t="n"/>
      <c r="HR24" s="108" t="n"/>
      <c r="HS24" s="108" t="n"/>
      <c r="HT24" s="108" t="n"/>
      <c r="HU24" s="108" t="n"/>
      <c r="HV24" s="108" t="n"/>
      <c r="HW24" s="108" t="n"/>
      <c r="HX24" s="108" t="n"/>
      <c r="HY24" s="108" t="n"/>
      <c r="HZ24" s="108" t="n"/>
      <c r="IA24" s="108" t="n"/>
      <c r="XEZ24" s="110" t="n"/>
      <c r="XFA24" s="110" t="n"/>
      <c r="XFB24" s="110" t="n"/>
      <c r="XFC24" s="110" t="n"/>
      <c r="XFD24" s="110" t="n"/>
    </row>
    <row r="25" ht="13.8" customHeight="1" s="112">
      <c r="A25" s="108" t="n"/>
      <c r="B25" s="108" t="n"/>
      <c r="C25" s="108" t="n"/>
      <c r="D25" s="108" t="n"/>
      <c r="E25" s="108" t="n"/>
      <c r="F25" s="108" t="n"/>
      <c r="G25" s="140" t="n"/>
      <c r="H25" s="110" t="n"/>
      <c r="I25" s="117" t="n"/>
      <c r="J25" s="117" t="n"/>
      <c r="K25" s="117" t="n"/>
      <c r="L25" s="117" t="n"/>
      <c r="M25" s="117" t="n"/>
      <c r="N25" s="117" t="n"/>
      <c r="O25" s="117" t="n"/>
      <c r="P25" s="117" t="n"/>
      <c r="Q25" s="117" t="n"/>
      <c r="R25" s="117" t="n"/>
      <c r="S25" s="117" t="n"/>
      <c r="T25" s="117" t="n"/>
      <c r="U25" s="117" t="n"/>
      <c r="V25" s="117" t="n"/>
      <c r="W25" s="117" t="n"/>
      <c r="X25" s="117" t="n"/>
      <c r="Y25" s="117" t="n"/>
      <c r="Z25" s="117" t="n"/>
      <c r="AA25" s="117" t="n"/>
      <c r="AB25" s="117" t="n"/>
      <c r="AC25" s="117" t="n"/>
      <c r="AD25" s="117" t="n"/>
      <c r="AE25" s="108" t="n"/>
      <c r="AF25" s="108" t="n"/>
      <c r="AG25" s="108" t="n"/>
      <c r="AH25" s="108" t="n"/>
      <c r="AI25" s="108" t="n"/>
      <c r="AJ25" s="108" t="n"/>
      <c r="AK25" s="108" t="n"/>
      <c r="AL25" s="108" t="n"/>
      <c r="AM25" s="108" t="n"/>
      <c r="AN25" s="108" t="n"/>
      <c r="AO25" s="108" t="n"/>
      <c r="AP25" s="108" t="n"/>
      <c r="AQ25" s="108" t="n"/>
      <c r="AR25" s="108" t="n"/>
      <c r="AS25" s="108" t="n"/>
      <c r="AT25" s="108" t="n"/>
      <c r="AU25" s="108" t="n"/>
      <c r="AV25" s="108" t="n"/>
      <c r="AW25" s="108" t="n"/>
      <c r="AX25" s="108" t="n"/>
      <c r="AY25" s="108" t="n"/>
      <c r="AZ25" s="108" t="n"/>
      <c r="BA25" s="108" t="n"/>
      <c r="BB25" s="108" t="n"/>
      <c r="BC25" s="108" t="n"/>
      <c r="BD25" s="108" t="n"/>
      <c r="BE25" s="108" t="n"/>
      <c r="BF25" s="108" t="n"/>
      <c r="BG25" s="108" t="n"/>
      <c r="BH25" s="108" t="n"/>
      <c r="BI25" s="108" t="n"/>
      <c r="BJ25" s="108" t="n"/>
      <c r="BK25" s="108" t="n"/>
      <c r="BL25" s="108" t="n"/>
      <c r="BM25" s="108" t="n"/>
      <c r="BN25" s="108" t="n"/>
      <c r="BO25" s="108" t="n"/>
      <c r="BP25" s="108" t="n"/>
      <c r="BQ25" s="108" t="n"/>
      <c r="BR25" s="108" t="n"/>
      <c r="BS25" s="108" t="n"/>
      <c r="BT25" s="108" t="n"/>
      <c r="BU25" s="108" t="n"/>
      <c r="BV25" s="108" t="n"/>
      <c r="BW25" s="108" t="n"/>
      <c r="BX25" s="108" t="n"/>
      <c r="BY25" s="108" t="n"/>
      <c r="BZ25" s="108" t="n"/>
      <c r="CA25" s="108" t="n"/>
      <c r="CB25" s="108" t="n"/>
      <c r="CC25" s="108" t="n"/>
      <c r="CD25" s="108" t="n"/>
      <c r="CE25" s="108" t="n"/>
      <c r="CF25" s="108" t="n"/>
      <c r="CG25" s="108" t="n"/>
      <c r="CH25" s="108" t="n"/>
      <c r="CI25" s="108" t="n"/>
      <c r="CJ25" s="108" t="n"/>
      <c r="CK25" s="108" t="n"/>
      <c r="CL25" s="108" t="n"/>
      <c r="CM25" s="108" t="n"/>
      <c r="CN25" s="108" t="n"/>
      <c r="CO25" s="108" t="n"/>
      <c r="CP25" s="108" t="n"/>
      <c r="CQ25" s="108" t="n"/>
      <c r="CR25" s="108" t="n"/>
      <c r="CS25" s="108" t="n"/>
      <c r="CT25" s="108" t="n"/>
      <c r="CU25" s="108" t="n"/>
      <c r="CV25" s="108" t="n"/>
      <c r="CW25" s="108" t="n"/>
      <c r="CX25" s="108" t="n"/>
      <c r="CY25" s="108" t="n"/>
      <c r="CZ25" s="108" t="n"/>
      <c r="DA25" s="108" t="n"/>
      <c r="DB25" s="108" t="n"/>
      <c r="DC25" s="108" t="n"/>
      <c r="DD25" s="108" t="n"/>
      <c r="DE25" s="108" t="n"/>
      <c r="DF25" s="108" t="n"/>
      <c r="DG25" s="108" t="n"/>
      <c r="DH25" s="108" t="n"/>
      <c r="DI25" s="108" t="n"/>
      <c r="DJ25" s="108" t="n"/>
      <c r="DK25" s="108" t="n"/>
      <c r="DL25" s="108" t="n"/>
      <c r="DM25" s="108" t="n"/>
      <c r="DN25" s="108" t="n"/>
      <c r="DO25" s="108" t="n"/>
      <c r="DP25" s="108" t="n"/>
      <c r="DQ25" s="108" t="n"/>
      <c r="DR25" s="108" t="n"/>
      <c r="DS25" s="108" t="n"/>
      <c r="DT25" s="108" t="n"/>
      <c r="DU25" s="108" t="n"/>
      <c r="DV25" s="108" t="n"/>
      <c r="DW25" s="108" t="n"/>
      <c r="DX25" s="108" t="n"/>
      <c r="DY25" s="108" t="n"/>
      <c r="DZ25" s="108" t="n"/>
      <c r="EA25" s="108" t="n"/>
      <c r="EB25" s="108" t="n"/>
      <c r="EC25" s="108" t="n"/>
      <c r="ED25" s="108" t="n"/>
      <c r="EE25" s="108" t="n"/>
      <c r="EF25" s="108" t="n"/>
      <c r="EG25" s="108" t="n"/>
      <c r="EH25" s="108" t="n"/>
      <c r="EI25" s="108" t="n"/>
      <c r="EJ25" s="108" t="n"/>
      <c r="EK25" s="108" t="n"/>
      <c r="EL25" s="108" t="n"/>
      <c r="EM25" s="108" t="n"/>
      <c r="EN25" s="108" t="n"/>
      <c r="EO25" s="108" t="n"/>
      <c r="EP25" s="108" t="n"/>
      <c r="EQ25" s="108" t="n"/>
      <c r="ER25" s="108" t="n"/>
      <c r="ES25" s="108" t="n"/>
      <c r="ET25" s="108" t="n"/>
      <c r="EU25" s="108" t="n"/>
      <c r="EV25" s="108" t="n"/>
      <c r="EW25" s="108" t="n"/>
      <c r="EX25" s="108" t="n"/>
      <c r="EY25" s="108" t="n"/>
      <c r="EZ25" s="108" t="n"/>
      <c r="FA25" s="108" t="n"/>
      <c r="FB25" s="108" t="n"/>
      <c r="FC25" s="108" t="n"/>
      <c r="FD25" s="108" t="n"/>
      <c r="FE25" s="108" t="n"/>
      <c r="FF25" s="108" t="n"/>
      <c r="FG25" s="108" t="n"/>
      <c r="FH25" s="108" t="n"/>
      <c r="FI25" s="108" t="n"/>
      <c r="FJ25" s="108" t="n"/>
      <c r="FK25" s="108" t="n"/>
      <c r="FL25" s="108" t="n"/>
      <c r="FM25" s="108" t="n"/>
      <c r="FN25" s="108" t="n"/>
      <c r="FO25" s="108" t="n"/>
      <c r="FP25" s="108" t="n"/>
      <c r="FQ25" s="108" t="n"/>
      <c r="FR25" s="108" t="n"/>
      <c r="FS25" s="108" t="n"/>
      <c r="FT25" s="108" t="n"/>
      <c r="FU25" s="108" t="n"/>
      <c r="FV25" s="108" t="n"/>
      <c r="FW25" s="108" t="n"/>
      <c r="FX25" s="108" t="n"/>
      <c r="FY25" s="108" t="n"/>
      <c r="FZ25" s="108" t="n"/>
      <c r="GA25" s="108" t="n"/>
      <c r="GB25" s="108" t="n"/>
      <c r="GC25" s="108" t="n"/>
      <c r="GD25" s="108" t="n"/>
      <c r="GE25" s="108" t="n"/>
      <c r="GF25" s="108" t="n"/>
      <c r="GG25" s="108" t="n"/>
      <c r="GH25" s="108" t="n"/>
      <c r="GI25" s="108" t="n"/>
      <c r="GJ25" s="108" t="n"/>
      <c r="GK25" s="108" t="n"/>
      <c r="GL25" s="108" t="n"/>
      <c r="GM25" s="108" t="n"/>
      <c r="GN25" s="108" t="n"/>
      <c r="GO25" s="108" t="n"/>
      <c r="GP25" s="108" t="n"/>
      <c r="GQ25" s="108" t="n"/>
      <c r="GR25" s="108" t="n"/>
      <c r="GS25" s="108" t="n"/>
      <c r="GT25" s="108" t="n"/>
      <c r="GU25" s="108" t="n"/>
      <c r="GV25" s="108" t="n"/>
      <c r="GW25" s="108" t="n"/>
      <c r="GX25" s="108" t="n"/>
      <c r="GY25" s="108" t="n"/>
      <c r="GZ25" s="108" t="n"/>
      <c r="HA25" s="108" t="n"/>
      <c r="HB25" s="108" t="n"/>
      <c r="HC25" s="108" t="n"/>
      <c r="HD25" s="108" t="n"/>
      <c r="HE25" s="108" t="n"/>
      <c r="HF25" s="108" t="n"/>
      <c r="HG25" s="108" t="n"/>
      <c r="HH25" s="108" t="n"/>
      <c r="HI25" s="108" t="n"/>
      <c r="HJ25" s="108" t="n"/>
      <c r="HK25" s="108" t="n"/>
      <c r="HL25" s="108" t="n"/>
      <c r="HM25" s="108" t="n"/>
      <c r="HN25" s="108" t="n"/>
      <c r="HO25" s="108" t="n"/>
      <c r="HP25" s="108" t="n"/>
      <c r="HQ25" s="108" t="n"/>
      <c r="HR25" s="108" t="n"/>
      <c r="HS25" s="108" t="n"/>
      <c r="HT25" s="108" t="n"/>
      <c r="HU25" s="108" t="n"/>
      <c r="HV25" s="108" t="n"/>
      <c r="HW25" s="108" t="n"/>
      <c r="HX25" s="108" t="n"/>
      <c r="HY25" s="108" t="n"/>
      <c r="HZ25" s="108" t="n"/>
      <c r="IA25" s="108" t="n"/>
      <c r="XEZ25" s="110" t="n"/>
      <c r="XFA25" s="110" t="n"/>
      <c r="XFB25" s="110" t="n"/>
      <c r="XFC25" s="110" t="n"/>
      <c r="XFD25" s="110" t="n"/>
    </row>
    <row r="26" ht="13.8" customHeight="1" s="112">
      <c r="A26" s="108" t="n"/>
      <c r="B26" s="108" t="n"/>
      <c r="C26" s="108" t="n"/>
      <c r="D26" s="108" t="n"/>
      <c r="E26" s="108" t="n"/>
      <c r="F26" s="108" t="n"/>
      <c r="G26" s="140" t="n"/>
      <c r="H26" s="110" t="n"/>
      <c r="I26" s="117" t="n"/>
      <c r="J26" s="117" t="n"/>
      <c r="K26" s="117" t="n"/>
      <c r="L26" s="117" t="n"/>
      <c r="M26" s="117" t="n"/>
      <c r="N26" s="117" t="n"/>
      <c r="O26" s="117" t="n"/>
      <c r="P26" s="117" t="n"/>
      <c r="Q26" s="117" t="n"/>
      <c r="R26" s="117" t="n"/>
      <c r="S26" s="117" t="n"/>
      <c r="T26" s="117" t="n"/>
      <c r="U26" s="117" t="n"/>
      <c r="V26" s="117" t="n"/>
      <c r="W26" s="117" t="n"/>
      <c r="X26" s="117" t="n"/>
      <c r="Y26" s="117" t="n"/>
      <c r="Z26" s="117" t="n"/>
      <c r="AA26" s="117" t="n"/>
      <c r="AB26" s="117" t="n"/>
      <c r="AC26" s="117" t="n"/>
      <c r="AD26" s="117" t="n"/>
      <c r="AE26" s="108" t="n"/>
      <c r="AF26" s="108" t="n"/>
      <c r="AG26" s="108" t="n"/>
      <c r="AH26" s="108" t="n"/>
      <c r="AI26" s="108" t="n"/>
      <c r="AJ26" s="108" t="n"/>
      <c r="AK26" s="108" t="n"/>
      <c r="AL26" s="108" t="n"/>
      <c r="AM26" s="108" t="n"/>
      <c r="AN26" s="108" t="n"/>
      <c r="AO26" s="108" t="n"/>
      <c r="AP26" s="108" t="n"/>
      <c r="AQ26" s="108" t="n"/>
      <c r="AR26" s="108" t="n"/>
      <c r="AS26" s="108" t="n"/>
      <c r="AT26" s="108" t="n"/>
      <c r="AU26" s="108" t="n"/>
      <c r="AV26" s="108" t="n"/>
      <c r="AW26" s="108" t="n"/>
      <c r="AX26" s="108" t="n"/>
      <c r="AY26" s="108" t="n"/>
      <c r="AZ26" s="108" t="n"/>
      <c r="BA26" s="108" t="n"/>
      <c r="BB26" s="108" t="n"/>
      <c r="BC26" s="108" t="n"/>
      <c r="BD26" s="108" t="n"/>
      <c r="BE26" s="108" t="n"/>
      <c r="BF26" s="108" t="n"/>
      <c r="BG26" s="108" t="n"/>
      <c r="BH26" s="108" t="n"/>
      <c r="BI26" s="108" t="n"/>
      <c r="BJ26" s="108" t="n"/>
      <c r="BK26" s="108" t="n"/>
      <c r="BL26" s="108" t="n"/>
      <c r="BM26" s="108" t="n"/>
      <c r="BN26" s="108" t="n"/>
      <c r="BO26" s="108" t="n"/>
      <c r="BP26" s="108" t="n"/>
      <c r="BQ26" s="108" t="n"/>
      <c r="BR26" s="108" t="n"/>
      <c r="BS26" s="108" t="n"/>
      <c r="BT26" s="108" t="n"/>
      <c r="BU26" s="108" t="n"/>
      <c r="BV26" s="108" t="n"/>
      <c r="BW26" s="108" t="n"/>
      <c r="BX26" s="108" t="n"/>
      <c r="BY26" s="108" t="n"/>
      <c r="BZ26" s="108" t="n"/>
      <c r="CA26" s="108" t="n"/>
      <c r="CB26" s="108" t="n"/>
      <c r="CC26" s="108" t="n"/>
      <c r="CD26" s="108" t="n"/>
      <c r="CE26" s="108" t="n"/>
      <c r="CF26" s="108" t="n"/>
      <c r="CG26" s="108" t="n"/>
      <c r="CH26" s="108" t="n"/>
      <c r="CI26" s="108" t="n"/>
      <c r="CJ26" s="108" t="n"/>
      <c r="CK26" s="108" t="n"/>
      <c r="CL26" s="108" t="n"/>
      <c r="CM26" s="108" t="n"/>
      <c r="CN26" s="108" t="n"/>
      <c r="CO26" s="108" t="n"/>
      <c r="CP26" s="108" t="n"/>
      <c r="CQ26" s="108" t="n"/>
      <c r="CR26" s="108" t="n"/>
      <c r="CS26" s="108" t="n"/>
      <c r="CT26" s="108" t="n"/>
      <c r="CU26" s="108" t="n"/>
      <c r="CV26" s="108" t="n"/>
      <c r="CW26" s="108" t="n"/>
      <c r="CX26" s="108" t="n"/>
      <c r="CY26" s="108" t="n"/>
      <c r="CZ26" s="108" t="n"/>
      <c r="DA26" s="108" t="n"/>
      <c r="DB26" s="108" t="n"/>
      <c r="DC26" s="108" t="n"/>
      <c r="DD26" s="108" t="n"/>
      <c r="DE26" s="108" t="n"/>
      <c r="DF26" s="108" t="n"/>
      <c r="DG26" s="108" t="n"/>
      <c r="DH26" s="108" t="n"/>
      <c r="DI26" s="108" t="n"/>
      <c r="DJ26" s="108" t="n"/>
      <c r="DK26" s="108" t="n"/>
      <c r="DL26" s="108" t="n"/>
      <c r="DM26" s="108" t="n"/>
      <c r="DN26" s="108" t="n"/>
      <c r="DO26" s="108" t="n"/>
      <c r="DP26" s="108" t="n"/>
      <c r="DQ26" s="108" t="n"/>
      <c r="DR26" s="108" t="n"/>
      <c r="DS26" s="108" t="n"/>
      <c r="DT26" s="108" t="n"/>
      <c r="DU26" s="108" t="n"/>
      <c r="DV26" s="108" t="n"/>
      <c r="DW26" s="108" t="n"/>
      <c r="DX26" s="108" t="n"/>
      <c r="DY26" s="108" t="n"/>
      <c r="DZ26" s="108" t="n"/>
      <c r="EA26" s="108" t="n"/>
      <c r="EB26" s="108" t="n"/>
      <c r="EC26" s="108" t="n"/>
      <c r="ED26" s="108" t="n"/>
      <c r="EE26" s="108" t="n"/>
      <c r="EF26" s="108" t="n"/>
      <c r="EG26" s="108" t="n"/>
      <c r="EH26" s="108" t="n"/>
      <c r="EI26" s="108" t="n"/>
      <c r="EJ26" s="108" t="n"/>
      <c r="EK26" s="108" t="n"/>
      <c r="EL26" s="108" t="n"/>
      <c r="EM26" s="108" t="n"/>
      <c r="EN26" s="108" t="n"/>
      <c r="EO26" s="108" t="n"/>
      <c r="EP26" s="108" t="n"/>
      <c r="EQ26" s="108" t="n"/>
      <c r="ER26" s="108" t="n"/>
      <c r="ES26" s="108" t="n"/>
      <c r="ET26" s="108" t="n"/>
      <c r="EU26" s="108" t="n"/>
      <c r="EV26" s="108" t="n"/>
      <c r="EW26" s="108" t="n"/>
      <c r="EX26" s="108" t="n"/>
      <c r="EY26" s="108" t="n"/>
      <c r="EZ26" s="108" t="n"/>
      <c r="FA26" s="108" t="n"/>
      <c r="FB26" s="108" t="n"/>
      <c r="FC26" s="108" t="n"/>
      <c r="FD26" s="108" t="n"/>
      <c r="FE26" s="108" t="n"/>
      <c r="FF26" s="108" t="n"/>
      <c r="FG26" s="108" t="n"/>
      <c r="FH26" s="108" t="n"/>
      <c r="FI26" s="108" t="n"/>
      <c r="FJ26" s="108" t="n"/>
      <c r="FK26" s="108" t="n"/>
      <c r="FL26" s="108" t="n"/>
      <c r="FM26" s="108" t="n"/>
      <c r="FN26" s="108" t="n"/>
      <c r="FO26" s="108" t="n"/>
      <c r="FP26" s="108" t="n"/>
      <c r="FQ26" s="108" t="n"/>
      <c r="FR26" s="108" t="n"/>
      <c r="FS26" s="108" t="n"/>
      <c r="FT26" s="108" t="n"/>
      <c r="FU26" s="108" t="n"/>
      <c r="FV26" s="108" t="n"/>
      <c r="FW26" s="108" t="n"/>
      <c r="FX26" s="108" t="n"/>
      <c r="FY26" s="108" t="n"/>
      <c r="FZ26" s="108" t="n"/>
      <c r="GA26" s="108" t="n"/>
      <c r="GB26" s="108" t="n"/>
      <c r="GC26" s="108" t="n"/>
      <c r="GD26" s="108" t="n"/>
      <c r="GE26" s="108" t="n"/>
      <c r="GF26" s="108" t="n"/>
      <c r="GG26" s="108" t="n"/>
      <c r="GH26" s="108" t="n"/>
      <c r="GI26" s="108" t="n"/>
      <c r="GJ26" s="108" t="n"/>
      <c r="GK26" s="108" t="n"/>
      <c r="GL26" s="108" t="n"/>
      <c r="GM26" s="108" t="n"/>
      <c r="GN26" s="108" t="n"/>
      <c r="GO26" s="108" t="n"/>
      <c r="GP26" s="108" t="n"/>
      <c r="GQ26" s="108" t="n"/>
      <c r="GR26" s="108" t="n"/>
      <c r="GS26" s="108" t="n"/>
      <c r="GT26" s="108" t="n"/>
      <c r="GU26" s="108" t="n"/>
      <c r="GV26" s="108" t="n"/>
      <c r="GW26" s="108" t="n"/>
      <c r="GX26" s="108" t="n"/>
      <c r="GY26" s="108" t="n"/>
      <c r="GZ26" s="108" t="n"/>
      <c r="HA26" s="108" t="n"/>
      <c r="HB26" s="108" t="n"/>
      <c r="HC26" s="108" t="n"/>
      <c r="HD26" s="108" t="n"/>
      <c r="HE26" s="108" t="n"/>
      <c r="HF26" s="108" t="n"/>
      <c r="HG26" s="108" t="n"/>
      <c r="HH26" s="108" t="n"/>
      <c r="HI26" s="108" t="n"/>
      <c r="HJ26" s="108" t="n"/>
      <c r="HK26" s="108" t="n"/>
      <c r="HL26" s="108" t="n"/>
      <c r="HM26" s="108" t="n"/>
      <c r="HN26" s="108" t="n"/>
      <c r="HO26" s="108" t="n"/>
      <c r="HP26" s="108" t="n"/>
      <c r="HQ26" s="108" t="n"/>
      <c r="HR26" s="108" t="n"/>
      <c r="HS26" s="108" t="n"/>
      <c r="HT26" s="108" t="n"/>
      <c r="HU26" s="108" t="n"/>
      <c r="HV26" s="108" t="n"/>
      <c r="HW26" s="108" t="n"/>
      <c r="HX26" s="108" t="n"/>
      <c r="HY26" s="108" t="n"/>
      <c r="HZ26" s="108" t="n"/>
      <c r="IA26" s="108" t="n"/>
      <c r="XEZ26" s="110" t="n"/>
      <c r="XFA26" s="110" t="n"/>
      <c r="XFB26" s="110" t="n"/>
      <c r="XFC26" s="110" t="n"/>
      <c r="XFD26" s="110" t="n"/>
    </row>
    <row r="27" ht="13.8" customHeight="1" s="112">
      <c r="A27" s="108" t="n"/>
      <c r="B27" s="108" t="n"/>
      <c r="C27" s="108" t="n"/>
      <c r="D27" s="108" t="n"/>
      <c r="E27" s="108" t="n"/>
      <c r="F27" s="108" t="n"/>
      <c r="G27" s="140" t="n"/>
      <c r="H27" s="110" t="n"/>
      <c r="I27" s="117" t="n"/>
      <c r="J27" s="117" t="n"/>
      <c r="K27" s="117" t="n"/>
      <c r="L27" s="117" t="n"/>
      <c r="M27" s="117" t="n"/>
      <c r="N27" s="117" t="n"/>
      <c r="O27" s="117" t="n"/>
      <c r="P27" s="117" t="n"/>
      <c r="Q27" s="117" t="n"/>
      <c r="R27" s="117" t="n"/>
      <c r="S27" s="117" t="n"/>
      <c r="T27" s="117" t="n"/>
      <c r="U27" s="117" t="n"/>
      <c r="V27" s="117" t="n"/>
      <c r="W27" s="117" t="n"/>
      <c r="X27" s="117" t="n"/>
      <c r="Y27" s="117" t="n"/>
      <c r="Z27" s="117" t="n"/>
      <c r="AA27" s="117" t="n"/>
      <c r="AB27" s="117" t="n"/>
      <c r="AC27" s="117" t="n"/>
      <c r="AD27" s="117" t="n"/>
      <c r="AE27" s="108" t="n"/>
      <c r="AF27" s="108" t="n"/>
      <c r="AG27" s="108" t="n"/>
      <c r="AH27" s="108" t="n"/>
      <c r="AI27" s="108" t="n"/>
      <c r="AJ27" s="108" t="n"/>
      <c r="AK27" s="108" t="n"/>
      <c r="AL27" s="108" t="n"/>
      <c r="AM27" s="108" t="n"/>
      <c r="AN27" s="108" t="n"/>
      <c r="AO27" s="108" t="n"/>
      <c r="AP27" s="108" t="n"/>
      <c r="AQ27" s="108" t="n"/>
      <c r="AR27" s="108" t="n"/>
      <c r="AS27" s="108" t="n"/>
      <c r="AT27" s="108" t="n"/>
      <c r="AU27" s="108" t="n"/>
      <c r="AV27" s="108" t="n"/>
      <c r="AW27" s="108" t="n"/>
      <c r="AX27" s="108" t="n"/>
      <c r="AY27" s="108" t="n"/>
      <c r="AZ27" s="108" t="n"/>
      <c r="BA27" s="108" t="n"/>
      <c r="BB27" s="108" t="n"/>
      <c r="BC27" s="108" t="n"/>
      <c r="BD27" s="108" t="n"/>
      <c r="BE27" s="108" t="n"/>
      <c r="BF27" s="108" t="n"/>
      <c r="BG27" s="108" t="n"/>
      <c r="BH27" s="108" t="n"/>
      <c r="BI27" s="108" t="n"/>
      <c r="BJ27" s="108" t="n"/>
      <c r="BK27" s="108" t="n"/>
      <c r="BL27" s="108" t="n"/>
      <c r="BM27" s="108" t="n"/>
      <c r="BN27" s="108" t="n"/>
      <c r="BO27" s="108" t="n"/>
      <c r="BP27" s="108" t="n"/>
      <c r="BQ27" s="108" t="n"/>
      <c r="BR27" s="108" t="n"/>
      <c r="BS27" s="108" t="n"/>
      <c r="BT27" s="108" t="n"/>
      <c r="BU27" s="108" t="n"/>
      <c r="BV27" s="108" t="n"/>
      <c r="BW27" s="108" t="n"/>
      <c r="BX27" s="108" t="n"/>
      <c r="BY27" s="108" t="n"/>
      <c r="BZ27" s="108" t="n"/>
      <c r="CA27" s="108" t="n"/>
      <c r="CB27" s="108" t="n"/>
      <c r="CC27" s="108" t="n"/>
      <c r="CD27" s="108" t="n"/>
      <c r="CE27" s="108" t="n"/>
      <c r="CF27" s="108" t="n"/>
      <c r="CG27" s="108" t="n"/>
      <c r="CH27" s="108" t="n"/>
      <c r="CI27" s="108" t="n"/>
      <c r="CJ27" s="108" t="n"/>
      <c r="CK27" s="108" t="n"/>
      <c r="CL27" s="108" t="n"/>
      <c r="CM27" s="108" t="n"/>
      <c r="CN27" s="108" t="n"/>
      <c r="CO27" s="108" t="n"/>
      <c r="CP27" s="108" t="n"/>
      <c r="CQ27" s="108" t="n"/>
      <c r="CR27" s="108" t="n"/>
      <c r="CS27" s="108" t="n"/>
      <c r="CT27" s="108" t="n"/>
      <c r="CU27" s="108" t="n"/>
      <c r="CV27" s="108" t="n"/>
      <c r="CW27" s="108" t="n"/>
      <c r="CX27" s="108" t="n"/>
      <c r="CY27" s="108" t="n"/>
      <c r="CZ27" s="108" t="n"/>
      <c r="DA27" s="108" t="n"/>
      <c r="DB27" s="108" t="n"/>
      <c r="DC27" s="108" t="n"/>
      <c r="DD27" s="108" t="n"/>
      <c r="DE27" s="108" t="n"/>
      <c r="DF27" s="108" t="n"/>
      <c r="DG27" s="108" t="n"/>
      <c r="DH27" s="108" t="n"/>
      <c r="DI27" s="108" t="n"/>
      <c r="DJ27" s="108" t="n"/>
      <c r="DK27" s="108" t="n"/>
      <c r="DL27" s="108" t="n"/>
      <c r="DM27" s="108" t="n"/>
      <c r="DN27" s="108" t="n"/>
      <c r="DO27" s="108" t="n"/>
      <c r="DP27" s="108" t="n"/>
      <c r="DQ27" s="108" t="n"/>
      <c r="DR27" s="108" t="n"/>
      <c r="DS27" s="108" t="n"/>
      <c r="DT27" s="108" t="n"/>
      <c r="DU27" s="108" t="n"/>
      <c r="DV27" s="108" t="n"/>
      <c r="DW27" s="108" t="n"/>
      <c r="DX27" s="108" t="n"/>
      <c r="DY27" s="108" t="n"/>
      <c r="DZ27" s="108" t="n"/>
      <c r="EA27" s="108" t="n"/>
      <c r="EB27" s="108" t="n"/>
      <c r="EC27" s="108" t="n"/>
      <c r="ED27" s="108" t="n"/>
      <c r="EE27" s="108" t="n"/>
      <c r="EF27" s="108" t="n"/>
      <c r="EG27" s="108" t="n"/>
      <c r="EH27" s="108" t="n"/>
      <c r="EI27" s="108" t="n"/>
      <c r="EJ27" s="108" t="n"/>
      <c r="EK27" s="108" t="n"/>
      <c r="EL27" s="108" t="n"/>
      <c r="EM27" s="108" t="n"/>
      <c r="EN27" s="108" t="n"/>
      <c r="EO27" s="108" t="n"/>
      <c r="EP27" s="108" t="n"/>
      <c r="EQ27" s="108" t="n"/>
      <c r="ER27" s="108" t="n"/>
      <c r="ES27" s="108" t="n"/>
      <c r="ET27" s="108" t="n"/>
      <c r="EU27" s="108" t="n"/>
      <c r="EV27" s="108" t="n"/>
      <c r="EW27" s="108" t="n"/>
      <c r="EX27" s="108" t="n"/>
      <c r="EY27" s="108" t="n"/>
      <c r="EZ27" s="108" t="n"/>
      <c r="FA27" s="108" t="n"/>
      <c r="FB27" s="108" t="n"/>
      <c r="FC27" s="108" t="n"/>
      <c r="FD27" s="108" t="n"/>
      <c r="FE27" s="108" t="n"/>
      <c r="FF27" s="108" t="n"/>
      <c r="FG27" s="108" t="n"/>
      <c r="FH27" s="108" t="n"/>
      <c r="FI27" s="108" t="n"/>
      <c r="FJ27" s="108" t="n"/>
      <c r="FK27" s="108" t="n"/>
      <c r="FL27" s="108" t="n"/>
      <c r="FM27" s="108" t="n"/>
      <c r="FN27" s="108" t="n"/>
      <c r="FO27" s="108" t="n"/>
      <c r="FP27" s="108" t="n"/>
      <c r="FQ27" s="108" t="n"/>
      <c r="FR27" s="108" t="n"/>
      <c r="FS27" s="108" t="n"/>
      <c r="FT27" s="108" t="n"/>
      <c r="FU27" s="108" t="n"/>
      <c r="FV27" s="108" t="n"/>
      <c r="FW27" s="108" t="n"/>
      <c r="FX27" s="108" t="n"/>
      <c r="FY27" s="108" t="n"/>
      <c r="FZ27" s="108" t="n"/>
      <c r="GA27" s="108" t="n"/>
      <c r="GB27" s="108" t="n"/>
      <c r="GC27" s="108" t="n"/>
      <c r="GD27" s="108" t="n"/>
      <c r="GE27" s="108" t="n"/>
      <c r="GF27" s="108" t="n"/>
      <c r="GG27" s="108" t="n"/>
      <c r="GH27" s="108" t="n"/>
      <c r="GI27" s="108" t="n"/>
      <c r="GJ27" s="108" t="n"/>
      <c r="GK27" s="108" t="n"/>
      <c r="GL27" s="108" t="n"/>
      <c r="GM27" s="108" t="n"/>
      <c r="GN27" s="108" t="n"/>
      <c r="GO27" s="108" t="n"/>
      <c r="GP27" s="108" t="n"/>
      <c r="GQ27" s="108" t="n"/>
      <c r="GR27" s="108" t="n"/>
      <c r="GS27" s="108" t="n"/>
      <c r="GT27" s="108" t="n"/>
      <c r="GU27" s="108" t="n"/>
      <c r="GV27" s="108" t="n"/>
      <c r="GW27" s="108" t="n"/>
      <c r="GX27" s="108" t="n"/>
      <c r="GY27" s="108" t="n"/>
      <c r="GZ27" s="108" t="n"/>
      <c r="HA27" s="108" t="n"/>
      <c r="HB27" s="108" t="n"/>
      <c r="HC27" s="108" t="n"/>
      <c r="HD27" s="108" t="n"/>
      <c r="HE27" s="108" t="n"/>
      <c r="HF27" s="108" t="n"/>
      <c r="HG27" s="108" t="n"/>
      <c r="HH27" s="108" t="n"/>
      <c r="HI27" s="108" t="n"/>
      <c r="HJ27" s="108" t="n"/>
      <c r="HK27" s="108" t="n"/>
      <c r="HL27" s="108" t="n"/>
      <c r="HM27" s="108" t="n"/>
      <c r="HN27" s="108" t="n"/>
      <c r="HO27" s="108" t="n"/>
      <c r="HP27" s="108" t="n"/>
      <c r="HQ27" s="108" t="n"/>
      <c r="HR27" s="108" t="n"/>
      <c r="HS27" s="108" t="n"/>
      <c r="HT27" s="108" t="n"/>
      <c r="HU27" s="108" t="n"/>
      <c r="HV27" s="108" t="n"/>
      <c r="HW27" s="108" t="n"/>
      <c r="HX27" s="108" t="n"/>
      <c r="HY27" s="108" t="n"/>
      <c r="HZ27" s="108" t="n"/>
      <c r="IA27" s="108" t="n"/>
      <c r="XEZ27" s="110" t="n"/>
      <c r="XFA27" s="110" t="n"/>
      <c r="XFB27" s="110" t="n"/>
      <c r="XFC27" s="110" t="n"/>
      <c r="XFD27" s="110" t="n"/>
    </row>
    <row r="28" ht="13.8" customHeight="1" s="112">
      <c r="G28" s="116" t="n"/>
      <c r="I28" s="117" t="n"/>
      <c r="J28" s="117" t="n"/>
      <c r="K28" s="117" t="n"/>
      <c r="L28" s="117" t="n"/>
      <c r="M28" s="117" t="n"/>
      <c r="N28" s="117" t="n"/>
      <c r="O28" s="117" t="n"/>
      <c r="P28" s="117" t="n"/>
      <c r="Q28" s="117" t="n"/>
      <c r="R28" s="117" t="n"/>
      <c r="S28" s="117" t="n"/>
      <c r="T28" s="117" t="n"/>
      <c r="U28" s="117" t="n"/>
      <c r="V28" s="117" t="n"/>
      <c r="W28" s="117" t="n"/>
      <c r="X28" s="117" t="n"/>
      <c r="Y28" s="117" t="n"/>
      <c r="Z28" s="117" t="n"/>
      <c r="AA28" s="117" t="n"/>
      <c r="AB28" s="117" t="n"/>
      <c r="AC28" s="117" t="n"/>
      <c r="AD28" s="117" t="n"/>
    </row>
    <row r="29" ht="13.8" customHeight="1" s="112">
      <c r="G29" s="116" t="n"/>
      <c r="I29" s="117" t="n"/>
      <c r="J29" s="117" t="n"/>
      <c r="K29" s="117" t="n"/>
      <c r="L29" s="117" t="n"/>
      <c r="M29" s="117" t="n"/>
      <c r="N29" s="117" t="n"/>
      <c r="O29" s="117" t="n"/>
      <c r="P29" s="117" t="n"/>
      <c r="Q29" s="117" t="n"/>
      <c r="R29" s="117" t="n"/>
      <c r="S29" s="117" t="n"/>
      <c r="T29" s="117" t="n"/>
      <c r="U29" s="117" t="n"/>
      <c r="V29" s="117" t="n"/>
      <c r="W29" s="117" t="n"/>
      <c r="X29" s="117" t="n"/>
      <c r="Y29" s="117" t="n"/>
      <c r="Z29" s="117" t="n"/>
      <c r="AA29" s="117" t="n"/>
      <c r="AB29" s="117" t="n"/>
      <c r="AC29" s="117" t="n"/>
      <c r="AD29" s="117" t="n"/>
    </row>
    <row r="30" ht="13.8" customHeight="1" s="112">
      <c r="G30" s="116" t="n"/>
      <c r="I30" s="117" t="n"/>
      <c r="J30" s="117" t="n"/>
      <c r="K30" s="117" t="n"/>
      <c r="L30" s="117" t="n"/>
      <c r="M30" s="117" t="n"/>
      <c r="N30" s="117" t="n"/>
      <c r="O30" s="117" t="n"/>
      <c r="P30" s="117" t="n"/>
      <c r="Q30" s="117" t="n"/>
      <c r="R30" s="117" t="n"/>
      <c r="S30" s="117" t="n"/>
      <c r="T30" s="117" t="n"/>
      <c r="U30" s="117" t="n"/>
      <c r="V30" s="117" t="n"/>
      <c r="W30" s="117" t="n"/>
      <c r="X30" s="117" t="n"/>
      <c r="Y30" s="117" t="n"/>
      <c r="Z30" s="117" t="n"/>
      <c r="AA30" s="117" t="n"/>
      <c r="AB30" s="117" t="n"/>
      <c r="AC30" s="117" t="n"/>
      <c r="AD30" s="117" t="n"/>
    </row>
    <row r="31" ht="13.8" customHeight="1" s="112">
      <c r="G31" s="116" t="n"/>
      <c r="I31" s="117" t="n"/>
      <c r="J31" s="117" t="n"/>
      <c r="K31" s="117" t="n"/>
      <c r="L31" s="117" t="n"/>
      <c r="M31" s="117" t="n"/>
      <c r="N31" s="117" t="n"/>
      <c r="O31" s="117" t="n"/>
      <c r="P31" s="117" t="n"/>
      <c r="Q31" s="117" t="n"/>
      <c r="R31" s="117" t="n"/>
      <c r="S31" s="117" t="n"/>
      <c r="T31" s="117" t="n"/>
      <c r="U31" s="117" t="n"/>
      <c r="V31" s="117" t="n"/>
      <c r="W31" s="117" t="n"/>
      <c r="X31" s="117" t="n"/>
      <c r="Y31" s="117" t="n"/>
      <c r="Z31" s="117" t="n"/>
      <c r="AA31" s="117" t="n"/>
      <c r="AB31" s="117" t="n"/>
      <c r="AC31" s="117" t="n"/>
      <c r="AD31" s="117" t="n"/>
    </row>
    <row r="32" ht="13.8" customHeight="1" s="112">
      <c r="G32" s="116" t="n"/>
      <c r="I32" s="117" t="n"/>
      <c r="J32" s="117" t="n"/>
      <c r="K32" s="117" t="n"/>
      <c r="L32" s="117" t="n"/>
      <c r="M32" s="117" t="n"/>
      <c r="N32" s="117" t="n"/>
      <c r="O32" s="117" t="n"/>
      <c r="P32" s="117" t="n"/>
      <c r="Q32" s="117" t="n"/>
      <c r="R32" s="117" t="n"/>
      <c r="S32" s="117" t="n"/>
      <c r="T32" s="117" t="n"/>
      <c r="U32" s="117" t="n"/>
      <c r="V32" s="117" t="n"/>
      <c r="W32" s="117" t="n"/>
      <c r="X32" s="117" t="n"/>
      <c r="Y32" s="117" t="n"/>
      <c r="Z32" s="117" t="n"/>
      <c r="AA32" s="117" t="n"/>
      <c r="AB32" s="117" t="n"/>
      <c r="AC32" s="117" t="n"/>
      <c r="AD32" s="117" t="n"/>
    </row>
    <row r="33" ht="13.8" customHeight="1" s="112">
      <c r="G33" s="116" t="n"/>
      <c r="I33" s="117" t="n"/>
      <c r="J33" s="117" t="n"/>
      <c r="K33" s="117" t="n"/>
      <c r="L33" s="117" t="n"/>
      <c r="M33" s="117" t="n"/>
      <c r="N33" s="117" t="n"/>
      <c r="O33" s="117" t="n"/>
      <c r="P33" s="117" t="n"/>
      <c r="Q33" s="117" t="n"/>
      <c r="R33" s="117" t="n"/>
      <c r="S33" s="117" t="n"/>
      <c r="T33" s="117" t="n"/>
      <c r="U33" s="117" t="n"/>
      <c r="V33" s="117" t="n"/>
      <c r="W33" s="117" t="n"/>
      <c r="X33" s="117" t="n"/>
      <c r="Y33" s="117" t="n"/>
      <c r="Z33" s="117" t="n"/>
      <c r="AA33" s="117" t="n"/>
      <c r="AB33" s="117" t="n"/>
      <c r="AC33" s="117" t="n"/>
      <c r="AD33" s="117" t="n"/>
    </row>
    <row r="34" ht="13.8" customHeight="1" s="112">
      <c r="G34" s="116" t="n"/>
      <c r="I34" s="117" t="n"/>
      <c r="J34" s="117" t="n"/>
      <c r="K34" s="117" t="n"/>
      <c r="L34" s="117" t="n"/>
      <c r="M34" s="117" t="n"/>
      <c r="N34" s="117" t="n"/>
      <c r="O34" s="117" t="n"/>
      <c r="P34" s="117" t="n"/>
      <c r="Q34" s="117" t="n"/>
      <c r="R34" s="117" t="n"/>
      <c r="S34" s="117" t="n"/>
      <c r="T34" s="117" t="n"/>
      <c r="U34" s="117" t="n"/>
      <c r="V34" s="117" t="n"/>
      <c r="W34" s="117" t="n"/>
      <c r="X34" s="117" t="n"/>
      <c r="Y34" s="117" t="n"/>
      <c r="Z34" s="117" t="n"/>
      <c r="AA34" s="117" t="n"/>
      <c r="AB34" s="117" t="n"/>
      <c r="AC34" s="117" t="n"/>
      <c r="AD34" s="117" t="n"/>
    </row>
    <row r="35" ht="13.8" customHeight="1" s="112">
      <c r="G35" s="116" t="n"/>
      <c r="I35" s="117" t="n"/>
      <c r="J35" s="117" t="n"/>
      <c r="K35" s="117" t="n"/>
      <c r="L35" s="117" t="n"/>
      <c r="M35" s="117" t="n"/>
      <c r="N35" s="117" t="n"/>
      <c r="O35" s="117" t="n"/>
      <c r="P35" s="117" t="n"/>
      <c r="Q35" s="117" t="n"/>
      <c r="R35" s="117" t="n"/>
      <c r="S35" s="117" t="n"/>
      <c r="T35" s="117" t="n"/>
      <c r="U35" s="117" t="n"/>
      <c r="V35" s="117" t="n"/>
      <c r="W35" s="117" t="n"/>
      <c r="X35" s="117" t="n"/>
      <c r="Y35" s="117" t="n"/>
      <c r="Z35" s="117" t="n"/>
      <c r="AA35" s="117" t="n"/>
      <c r="AB35" s="117" t="n"/>
      <c r="AC35" s="117" t="n"/>
      <c r="AD35" s="117" t="n"/>
    </row>
    <row r="36" ht="13.8" customHeight="1" s="112">
      <c r="G36" s="116" t="n"/>
      <c r="I36" s="117" t="n"/>
      <c r="J36" s="117" t="n"/>
      <c r="K36" s="117" t="n"/>
      <c r="L36" s="117" t="n"/>
      <c r="M36" s="117" t="n"/>
      <c r="N36" s="117" t="n"/>
      <c r="O36" s="117" t="n"/>
      <c r="P36" s="117" t="n"/>
      <c r="Q36" s="117" t="n"/>
      <c r="R36" s="117" t="n"/>
      <c r="S36" s="117" t="n"/>
      <c r="T36" s="117" t="n"/>
      <c r="U36" s="117" t="n"/>
      <c r="V36" s="117" t="n"/>
      <c r="W36" s="117" t="n"/>
      <c r="X36" s="117" t="n"/>
      <c r="Y36" s="117" t="n"/>
      <c r="Z36" s="117" t="n"/>
      <c r="AA36" s="117" t="n"/>
      <c r="AB36" s="117" t="n"/>
      <c r="AC36" s="117" t="n"/>
      <c r="AD36" s="117" t="n"/>
    </row>
    <row r="37" ht="13.8" customHeight="1" s="112">
      <c r="G37" s="116" t="n"/>
      <c r="I37" s="117" t="n"/>
      <c r="J37" s="117" t="n"/>
      <c r="K37" s="117" t="n"/>
      <c r="L37" s="117" t="n"/>
      <c r="M37" s="117" t="n"/>
      <c r="N37" s="117" t="n"/>
      <c r="O37" s="117" t="n"/>
      <c r="P37" s="117" t="n"/>
      <c r="Q37" s="117" t="n"/>
      <c r="R37" s="117" t="n"/>
      <c r="S37" s="117" t="n"/>
      <c r="T37" s="117" t="n"/>
      <c r="U37" s="117" t="n"/>
      <c r="V37" s="117" t="n"/>
      <c r="W37" s="117" t="n"/>
      <c r="X37" s="117" t="n"/>
      <c r="Y37" s="117" t="n"/>
      <c r="Z37" s="117" t="n"/>
      <c r="AA37" s="117" t="n"/>
      <c r="AB37" s="117" t="n"/>
      <c r="AC37" s="117" t="n"/>
      <c r="AD37" s="117" t="n"/>
    </row>
    <row r="38" ht="13.8" customHeight="1" s="112">
      <c r="G38" s="116" t="n"/>
      <c r="I38" s="117" t="n"/>
      <c r="J38" s="117" t="n"/>
      <c r="K38" s="117" t="n"/>
      <c r="L38" s="117" t="n"/>
      <c r="M38" s="117" t="n"/>
      <c r="N38" s="117" t="n"/>
      <c r="O38" s="117" t="n"/>
      <c r="P38" s="117" t="n"/>
      <c r="Q38" s="117" t="n"/>
      <c r="R38" s="117" t="n"/>
      <c r="S38" s="117" t="n"/>
      <c r="T38" s="117" t="n"/>
      <c r="U38" s="117" t="n"/>
      <c r="V38" s="117" t="n"/>
      <c r="W38" s="117" t="n"/>
      <c r="X38" s="117" t="n"/>
      <c r="Y38" s="117" t="n"/>
      <c r="Z38" s="117" t="n"/>
      <c r="AA38" s="117" t="n"/>
      <c r="AB38" s="117" t="n"/>
      <c r="AC38" s="117" t="n"/>
      <c r="AD38" s="117" t="n"/>
    </row>
    <row r="39" ht="13.8" customHeight="1" s="112">
      <c r="G39" s="116" t="n"/>
      <c r="I39" s="117" t="n"/>
      <c r="J39" s="117" t="n"/>
      <c r="K39" s="117" t="n"/>
      <c r="L39" s="117" t="n"/>
      <c r="M39" s="117" t="n"/>
      <c r="N39" s="117" t="n"/>
      <c r="O39" s="117" t="n"/>
      <c r="P39" s="117" t="n"/>
      <c r="Q39" s="117" t="n"/>
      <c r="R39" s="117" t="n"/>
      <c r="S39" s="117" t="n"/>
      <c r="T39" s="117" t="n"/>
      <c r="U39" s="117" t="n"/>
      <c r="V39" s="117" t="n"/>
      <c r="W39" s="117" t="n"/>
      <c r="X39" s="117" t="n"/>
      <c r="Y39" s="117" t="n"/>
      <c r="Z39" s="117" t="n"/>
      <c r="AA39" s="117" t="n"/>
      <c r="AB39" s="117" t="n"/>
      <c r="AC39" s="117" t="n"/>
      <c r="AD39" s="117" t="n"/>
    </row>
    <row r="40" ht="13.8" customHeight="1" s="112">
      <c r="G40" s="116" t="n"/>
      <c r="I40" s="117" t="n"/>
      <c r="J40" s="117" t="n"/>
      <c r="K40" s="117" t="n"/>
      <c r="L40" s="117" t="n"/>
      <c r="M40" s="117" t="n"/>
      <c r="N40" s="117" t="n"/>
      <c r="O40" s="117" t="n"/>
      <c r="P40" s="117" t="n"/>
      <c r="Q40" s="117" t="n"/>
      <c r="R40" s="117" t="n"/>
      <c r="S40" s="117" t="n"/>
      <c r="T40" s="117" t="n"/>
      <c r="U40" s="117" t="n"/>
      <c r="V40" s="117" t="n"/>
      <c r="W40" s="117" t="n"/>
      <c r="X40" s="117" t="n"/>
      <c r="Y40" s="117" t="n"/>
      <c r="Z40" s="117" t="n"/>
      <c r="AA40" s="117" t="n"/>
      <c r="AB40" s="117" t="n"/>
      <c r="AC40" s="117" t="n"/>
      <c r="AD40" s="117" t="n"/>
    </row>
    <row r="41" ht="13.8" customHeight="1" s="112">
      <c r="G41" s="116" t="n"/>
      <c r="I41" s="117" t="n"/>
      <c r="J41" s="117" t="n"/>
      <c r="K41" s="117" t="n"/>
      <c r="L41" s="117" t="n"/>
      <c r="M41" s="117" t="n"/>
      <c r="N41" s="117" t="n"/>
      <c r="O41" s="117" t="n"/>
      <c r="P41" s="117" t="n"/>
      <c r="Q41" s="117" t="n"/>
      <c r="R41" s="117" t="n"/>
      <c r="S41" s="117" t="n"/>
      <c r="T41" s="117" t="n"/>
      <c r="U41" s="117" t="n"/>
      <c r="V41" s="117" t="n"/>
      <c r="W41" s="117" t="n"/>
      <c r="X41" s="117" t="n"/>
      <c r="Y41" s="117" t="n"/>
      <c r="Z41" s="117" t="n"/>
      <c r="AA41" s="117" t="n"/>
      <c r="AB41" s="117" t="n"/>
      <c r="AC41" s="117" t="n"/>
      <c r="AD41" s="117" t="n"/>
    </row>
    <row r="42" ht="13.8" customHeight="1" s="112">
      <c r="G42" s="116" t="n"/>
      <c r="I42" s="117" t="n"/>
      <c r="J42" s="117" t="n"/>
      <c r="K42" s="117" t="n"/>
      <c r="L42" s="117" t="n"/>
      <c r="M42" s="117" t="n"/>
      <c r="N42" s="117" t="n"/>
      <c r="O42" s="117" t="n"/>
      <c r="P42" s="117" t="n"/>
      <c r="Q42" s="117" t="n"/>
      <c r="R42" s="117" t="n"/>
      <c r="S42" s="117" t="n"/>
      <c r="T42" s="117" t="n"/>
      <c r="U42" s="117" t="n"/>
      <c r="V42" s="117" t="n"/>
      <c r="W42" s="117" t="n"/>
      <c r="X42" s="117" t="n"/>
      <c r="Y42" s="117" t="n"/>
      <c r="Z42" s="117" t="n"/>
      <c r="AA42" s="117" t="n"/>
      <c r="AB42" s="117" t="n"/>
      <c r="AC42" s="117" t="n"/>
      <c r="AD42" s="117" t="n"/>
    </row>
    <row r="43" ht="13.8" customHeight="1" s="112">
      <c r="G43" s="116" t="n"/>
      <c r="I43" s="117" t="n"/>
      <c r="J43" s="117" t="n"/>
      <c r="K43" s="117" t="n"/>
      <c r="L43" s="117" t="n"/>
      <c r="M43" s="117" t="n"/>
      <c r="N43" s="117" t="n"/>
      <c r="O43" s="117" t="n"/>
      <c r="P43" s="117" t="n"/>
      <c r="Q43" s="117" t="n"/>
      <c r="R43" s="117" t="n"/>
      <c r="S43" s="117" t="n"/>
      <c r="T43" s="117" t="n"/>
      <c r="U43" s="117" t="n"/>
      <c r="V43" s="117" t="n"/>
      <c r="W43" s="117" t="n"/>
      <c r="X43" s="117" t="n"/>
      <c r="Y43" s="117" t="n"/>
      <c r="Z43" s="117" t="n"/>
      <c r="AA43" s="117" t="n"/>
      <c r="AB43" s="117" t="n"/>
      <c r="AC43" s="117" t="n"/>
      <c r="AD43" s="117" t="n"/>
    </row>
    <row r="44" ht="13.8" customHeight="1" s="112">
      <c r="G44" s="116" t="n"/>
      <c r="I44" s="117" t="n"/>
      <c r="J44" s="117" t="n"/>
      <c r="K44" s="117" t="n"/>
      <c r="L44" s="117" t="n"/>
      <c r="M44" s="117" t="n"/>
      <c r="N44" s="117" t="n"/>
      <c r="O44" s="117" t="n"/>
      <c r="P44" s="117" t="n"/>
      <c r="Q44" s="117" t="n"/>
      <c r="R44" s="117" t="n"/>
      <c r="S44" s="117" t="n"/>
      <c r="T44" s="117" t="n"/>
      <c r="U44" s="117" t="n"/>
      <c r="V44" s="117" t="n"/>
      <c r="W44" s="117" t="n"/>
      <c r="X44" s="117" t="n"/>
      <c r="Y44" s="117" t="n"/>
      <c r="Z44" s="117" t="n"/>
      <c r="AA44" s="117" t="n"/>
      <c r="AB44" s="117" t="n"/>
      <c r="AC44" s="117" t="n"/>
      <c r="AD44" s="117" t="n"/>
    </row>
    <row r="45" ht="13.8" customHeight="1" s="112">
      <c r="G45" s="116" t="n"/>
      <c r="I45" s="117" t="n"/>
      <c r="J45" s="117" t="n"/>
      <c r="K45" s="117" t="n"/>
      <c r="L45" s="117" t="n"/>
      <c r="M45" s="117" t="n"/>
      <c r="N45" s="117" t="n"/>
      <c r="O45" s="117" t="n"/>
      <c r="P45" s="117" t="n"/>
      <c r="Q45" s="117" t="n"/>
      <c r="R45" s="117" t="n"/>
      <c r="S45" s="117" t="n"/>
      <c r="T45" s="117" t="n"/>
      <c r="U45" s="117" t="n"/>
      <c r="V45" s="117" t="n"/>
      <c r="W45" s="117" t="n"/>
      <c r="X45" s="117" t="n"/>
      <c r="Y45" s="117" t="n"/>
      <c r="Z45" s="117" t="n"/>
      <c r="AA45" s="117" t="n"/>
      <c r="AB45" s="117" t="n"/>
      <c r="AC45" s="117" t="n"/>
      <c r="AD45" s="117" t="n"/>
    </row>
    <row r="46" ht="13.8" customHeight="1" s="112">
      <c r="G46" s="116" t="n"/>
      <c r="I46" s="117" t="n"/>
      <c r="J46" s="117" t="n"/>
      <c r="K46" s="117" t="n"/>
      <c r="L46" s="117" t="n"/>
      <c r="M46" s="117" t="n"/>
      <c r="N46" s="117" t="n"/>
      <c r="O46" s="117" t="n"/>
      <c r="P46" s="117" t="n"/>
      <c r="Q46" s="117" t="n"/>
      <c r="R46" s="117" t="n"/>
      <c r="S46" s="117" t="n"/>
      <c r="T46" s="117" t="n"/>
      <c r="U46" s="117" t="n"/>
      <c r="V46" s="117" t="n"/>
      <c r="W46" s="117" t="n"/>
      <c r="X46" s="117" t="n"/>
      <c r="Y46" s="117" t="n"/>
      <c r="Z46" s="117" t="n"/>
      <c r="AA46" s="117" t="n"/>
      <c r="AB46" s="117" t="n"/>
      <c r="AC46" s="117" t="n"/>
      <c r="AD46" s="117" t="n"/>
    </row>
    <row r="47" ht="13.8" customHeight="1" s="112">
      <c r="G47" s="116" t="n"/>
      <c r="I47" s="117" t="n"/>
      <c r="J47" s="117" t="n"/>
      <c r="K47" s="117" t="n"/>
      <c r="L47" s="117" t="n"/>
      <c r="M47" s="117" t="n"/>
      <c r="N47" s="117" t="n"/>
      <c r="O47" s="117" t="n"/>
      <c r="P47" s="117" t="n"/>
      <c r="Q47" s="117" t="n"/>
      <c r="R47" s="117" t="n"/>
      <c r="S47" s="117" t="n"/>
      <c r="T47" s="117" t="n"/>
      <c r="U47" s="117" t="n"/>
      <c r="V47" s="117" t="n"/>
      <c r="W47" s="117" t="n"/>
      <c r="X47" s="117" t="n"/>
      <c r="Y47" s="117" t="n"/>
      <c r="Z47" s="117" t="n"/>
      <c r="AA47" s="117" t="n"/>
      <c r="AB47" s="117" t="n"/>
      <c r="AC47" s="117" t="n"/>
      <c r="AD47" s="117" t="n"/>
    </row>
    <row r="48" ht="13.8" customHeight="1" s="112">
      <c r="G48" s="116" t="n"/>
      <c r="I48" s="117" t="n"/>
      <c r="J48" s="117" t="n"/>
      <c r="K48" s="117" t="n"/>
      <c r="L48" s="117" t="n"/>
      <c r="M48" s="117" t="n"/>
      <c r="N48" s="117" t="n"/>
      <c r="O48" s="117" t="n"/>
      <c r="P48" s="117" t="n"/>
      <c r="Q48" s="117" t="n"/>
      <c r="R48" s="117" t="n"/>
      <c r="S48" s="117" t="n"/>
      <c r="T48" s="117" t="n"/>
      <c r="U48" s="117" t="n"/>
      <c r="V48" s="117" t="n"/>
      <c r="W48" s="117" t="n"/>
      <c r="X48" s="117" t="n"/>
      <c r="Y48" s="117" t="n"/>
      <c r="Z48" s="117" t="n"/>
      <c r="AA48" s="117" t="n"/>
      <c r="AB48" s="117" t="n"/>
      <c r="AC48" s="117" t="n"/>
      <c r="AD48" s="117" t="n"/>
    </row>
    <row r="49" ht="13.8" customHeight="1" s="112">
      <c r="G49" s="116" t="n"/>
      <c r="I49" s="117" t="n"/>
      <c r="J49" s="117" t="n"/>
      <c r="K49" s="117" t="n"/>
      <c r="L49" s="117" t="n"/>
      <c r="M49" s="117" t="n"/>
      <c r="N49" s="117" t="n"/>
      <c r="O49" s="117" t="n"/>
      <c r="P49" s="117" t="n"/>
      <c r="Q49" s="117" t="n"/>
      <c r="R49" s="117" t="n"/>
      <c r="S49" s="117" t="n"/>
      <c r="T49" s="117" t="n"/>
      <c r="U49" s="117" t="n"/>
      <c r="V49" s="117" t="n"/>
      <c r="W49" s="117" t="n"/>
      <c r="X49" s="117" t="n"/>
      <c r="Y49" s="117" t="n"/>
      <c r="Z49" s="117" t="n"/>
      <c r="AA49" s="117" t="n"/>
      <c r="AB49" s="117" t="n"/>
      <c r="AC49" s="117" t="n"/>
      <c r="AD49" s="117" t="n"/>
    </row>
    <row r="50" ht="13.8" customHeight="1" s="112">
      <c r="G50" s="116" t="n"/>
      <c r="I50" s="117" t="n"/>
      <c r="J50" s="117" t="n"/>
      <c r="K50" s="117" t="n"/>
      <c r="L50" s="117" t="n"/>
      <c r="M50" s="117" t="n"/>
      <c r="N50" s="117" t="n"/>
      <c r="O50" s="117" t="n"/>
      <c r="P50" s="117" t="n"/>
      <c r="Q50" s="117" t="n"/>
      <c r="R50" s="117" t="n"/>
      <c r="S50" s="117" t="n"/>
      <c r="T50" s="117" t="n"/>
      <c r="U50" s="117" t="n"/>
      <c r="V50" s="117" t="n"/>
      <c r="W50" s="117" t="n"/>
      <c r="X50" s="117" t="n"/>
      <c r="Y50" s="117" t="n"/>
      <c r="Z50" s="117" t="n"/>
      <c r="AA50" s="117" t="n"/>
      <c r="AB50" s="117" t="n"/>
      <c r="AC50" s="117" t="n"/>
      <c r="AD50" s="117" t="n"/>
    </row>
    <row r="51" ht="13.8" customHeight="1" s="112">
      <c r="G51" s="116" t="n"/>
      <c r="I51" s="117" t="n"/>
      <c r="J51" s="117" t="n"/>
      <c r="K51" s="117" t="n"/>
      <c r="L51" s="117" t="n"/>
      <c r="M51" s="117" t="n"/>
      <c r="N51" s="117" t="n"/>
      <c r="O51" s="117" t="n"/>
      <c r="P51" s="117" t="n"/>
      <c r="Q51" s="117" t="n"/>
      <c r="R51" s="117" t="n"/>
      <c r="S51" s="117" t="n"/>
      <c r="T51" s="117" t="n"/>
      <c r="U51" s="117" t="n"/>
      <c r="V51" s="117" t="n"/>
      <c r="W51" s="117" t="n"/>
      <c r="X51" s="117" t="n"/>
      <c r="Y51" s="117" t="n"/>
      <c r="Z51" s="117" t="n"/>
      <c r="AA51" s="117" t="n"/>
      <c r="AB51" s="117" t="n"/>
      <c r="AC51" s="117" t="n"/>
      <c r="AD51" s="117" t="n"/>
    </row>
    <row r="52" ht="13.8" customHeight="1" s="112">
      <c r="G52" s="116" t="n"/>
      <c r="I52" s="117" t="n"/>
      <c r="J52" s="117" t="n"/>
      <c r="K52" s="117" t="n"/>
      <c r="L52" s="117" t="n"/>
      <c r="M52" s="117" t="n"/>
      <c r="N52" s="117" t="n"/>
      <c r="O52" s="117" t="n"/>
      <c r="P52" s="117" t="n"/>
      <c r="Q52" s="117" t="n"/>
      <c r="R52" s="117" t="n"/>
      <c r="S52" s="117" t="n"/>
      <c r="T52" s="117" t="n"/>
      <c r="U52" s="117" t="n"/>
      <c r="V52" s="117" t="n"/>
      <c r="W52" s="117" t="n"/>
      <c r="X52" s="117" t="n"/>
      <c r="Y52" s="117" t="n"/>
      <c r="Z52" s="117" t="n"/>
      <c r="AA52" s="117" t="n"/>
      <c r="AB52" s="117" t="n"/>
      <c r="AC52" s="117" t="n"/>
      <c r="AD52" s="117" t="n"/>
    </row>
    <row r="53" ht="13.8" customHeight="1" s="112">
      <c r="G53" s="116" t="n"/>
    </row>
    <row r="54" ht="13.8" customHeight="1" s="112"/>
    <row r="55" ht="13.8" customHeight="1" s="112"/>
    <row r="1048567" ht="13.8" customHeight="1" s="112"/>
    <row r="1048568" ht="13.8" customHeight="1" s="112"/>
    <row r="1048569" ht="13.8" customHeight="1" s="112"/>
    <row r="1048570" ht="13.8" customHeight="1" s="112"/>
    <row r="1048571" ht="13.8" customHeight="1" s="112"/>
    <row r="1048572" ht="13.8" customHeight="1" s="112"/>
    <row r="1048573" ht="13.8" customHeight="1" s="112"/>
    <row r="1048574" ht="13.8" customHeight="1" s="112"/>
    <row r="1048575" ht="13.8" customHeight="1" s="112"/>
    <row r="1048576" ht="13.8" customHeight="1" s="112"/>
  </sheetData>
  <autoFilter ref="A5:IA7"/>
  <mergeCells count="6">
    <mergeCell ref="B4:B5"/>
    <mergeCell ref="D10:E10"/>
    <mergeCell ref="C4:C5"/>
    <mergeCell ref="A4:A5"/>
    <mergeCell ref="E4:E5"/>
    <mergeCell ref="D4:D5"/>
  </mergeCells>
  <printOptions horizontalCentered="0" verticalCentered="0" headings="0" gridLines="0" gridLinesSet="1"/>
  <pageMargins left="0.5" right="0.5" top="0.75" bottom="0.75" header="0.3" footer="0.3"/>
  <pageSetup orientation="landscape" paperSize="9" scale="55" fitToHeight="1" fitToWidth="1" pageOrder="downThenOver" blackAndWhite="0" draft="0" horizontalDpi="300" verticalDpi="300" copies="1"/>
  <headerFooter differentOddEven="0" differentFirst="0">
    <oddHeader>&amp;R&amp;"Calibri Light,Bold"&amp;10 Appendix 4</oddHeader>
    <oddFooter>&amp;R&amp;"Verdana,Regular"&amp;9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XFD318"/>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5" activeCellId="0" sqref="A5"/>
    </sheetView>
  </sheetViews>
  <sheetFormatPr baseColWidth="8" defaultColWidth="11.53515625" defaultRowHeight="13.8" customHeight="1" zeroHeight="0" outlineLevelRow="0"/>
  <cols>
    <col width="39.82" customWidth="1" style="152" min="1" max="1"/>
    <col width="15.54" customWidth="1" style="153" min="2" max="2"/>
    <col width="15.54" customWidth="1" style="110" min="3" max="11"/>
    <col width="15.54" customWidth="1" style="112" min="4" max="4"/>
    <col width="11.53" customWidth="1" style="154" min="16376" max="16384"/>
  </cols>
  <sheetData>
    <row r="1" ht="13.8" customHeight="1" s="112">
      <c r="A1" s="155" t="inlineStr">
        <is>
          <t>Financial Analysis Sdn Bhd</t>
        </is>
      </c>
      <c r="B1" s="154" t="n"/>
      <c r="C1" s="156" t="n"/>
      <c r="D1" s="156" t="n"/>
    </row>
    <row r="2" ht="13.8" customHeight="1" s="112">
      <c r="A2" s="157" t="inlineStr">
        <is>
          <t>3 companies</t>
        </is>
      </c>
      <c r="B2" s="154" t="n"/>
      <c r="C2" s="156" t="n"/>
      <c r="D2" s="156" t="n"/>
    </row>
    <row r="3" ht="13.8" customHeight="1" s="112">
      <c r="A3" s="157" t="inlineStr">
        <is>
          <t>2024</t>
        </is>
      </c>
      <c r="B3" s="154" t="n"/>
      <c r="C3" s="156" t="n"/>
      <c r="D3" s="156" t="n"/>
    </row>
    <row r="4" ht="13.8" customHeight="1" s="112">
      <c r="A4" s="154" t="n"/>
      <c r="B4" s="154" t="n"/>
      <c r="C4" s="156" t="n"/>
      <c r="D4" s="156" t="n"/>
    </row>
    <row r="5" ht="60.75" customHeight="1" s="112">
      <c r="A5" s="158" t="inlineStr">
        <is>
          <t>Account description</t>
        </is>
      </c>
      <c r="B5" s="159" t="inlineStr">
        <is>
          <t>Infastech (Malaysia) Sdn Bhd</t>
        </is>
      </c>
      <c r="C5" s="160" t="inlineStr">
        <is>
          <t>SYW INDUSTRY SDN BHD</t>
        </is>
      </c>
      <c r="D5" s="160" t="inlineStr">
        <is>
          <t>ALIGN FASTENERS MANUFACTURING SDN BHD</t>
        </is>
      </c>
      <c r="XEV5" s="161" t="n"/>
      <c r="XEW5" s="161" t="n"/>
      <c r="XEX5" s="161" t="n"/>
      <c r="XEY5" s="161" t="n"/>
      <c r="XEZ5" s="161" t="n"/>
      <c r="XFA5" s="161" t="n"/>
      <c r="XFB5" s="161" t="n"/>
      <c r="XFC5" s="161" t="n"/>
      <c r="XFD5" s="161" t="n"/>
    </row>
    <row r="6" ht="13.8" customHeight="1" s="112">
      <c r="A6" s="162" t="inlineStr">
        <is>
          <t>Year end date</t>
        </is>
      </c>
      <c r="B6" s="163" t="inlineStr">
        <is>
          <t>2024-12-31</t>
        </is>
      </c>
      <c r="C6" s="164" t="inlineStr">
        <is>
          <t>2024-12-31</t>
        </is>
      </c>
      <c r="D6" s="164" t="inlineStr">
        <is>
          <t>2024-08-31</t>
        </is>
      </c>
      <c r="XEV6" s="165" t="n"/>
      <c r="XEW6" s="165" t="n"/>
      <c r="XEX6" s="165" t="n"/>
      <c r="XEY6" s="165" t="n"/>
      <c r="XEZ6" s="165" t="n"/>
      <c r="XFA6" s="165" t="n"/>
      <c r="XFB6" s="165" t="n"/>
      <c r="XFC6" s="165" t="n"/>
      <c r="XFD6" s="165" t="n"/>
    </row>
    <row r="7" hidden="1" ht="13.8" customHeight="1" s="112">
      <c r="A7" s="162" t="n"/>
      <c r="XEV7" s="165" t="n"/>
      <c r="XEW7" s="165" t="n"/>
      <c r="XEX7" s="165" t="n"/>
      <c r="XEY7" s="165" t="n"/>
      <c r="XEZ7" s="165" t="n"/>
      <c r="XFA7" s="165" t="n"/>
      <c r="XFB7" s="165" t="n"/>
      <c r="XFC7" s="165" t="n"/>
      <c r="XFD7" s="165" t="n"/>
    </row>
    <row r="8" ht="13.8" customHeight="1" s="112">
      <c r="A8" s="162" t="n"/>
      <c r="B8" s="163" t="n"/>
      <c r="C8" s="164" t="n"/>
      <c r="D8" s="164" t="n"/>
      <c r="XEV8" s="165" t="n"/>
      <c r="XEW8" s="165" t="n"/>
      <c r="XEX8" s="165" t="n"/>
      <c r="XEY8" s="165" t="n"/>
      <c r="XEZ8" s="165" t="n"/>
      <c r="XFA8" s="165" t="n"/>
      <c r="XFB8" s="165" t="n"/>
      <c r="XFC8" s="165" t="n"/>
      <c r="XFD8" s="165" t="n"/>
    </row>
    <row r="9" ht="13.9" customHeight="1" s="112">
      <c r="A9" s="166" t="inlineStr">
        <is>
          <t>Income Statement</t>
        </is>
      </c>
    </row>
    <row r="10" ht="13.9" customHeight="1" s="112">
      <c r="A10" s="167" t="inlineStr">
        <is>
          <t>Net sales</t>
        </is>
      </c>
      <c r="B10" s="168" t="n"/>
      <c r="C10" s="169" t="n"/>
      <c r="D10" s="169" t="n">
        <v>6253603</v>
      </c>
      <c r="XEV10" s="165" t="n"/>
      <c r="XEW10" s="165" t="n"/>
      <c r="XEX10" s="165" t="n"/>
      <c r="XEY10" s="165" t="n"/>
      <c r="XEZ10" s="165" t="n"/>
      <c r="XFA10" s="165" t="n"/>
      <c r="XFB10" s="165" t="n"/>
      <c r="XFC10" s="165" t="n"/>
      <c r="XFD10" s="165" t="n"/>
    </row>
    <row r="11" ht="13.9" customHeight="1" s="112">
      <c r="A11" s="167" t="inlineStr">
        <is>
          <t>Cost of goods sold</t>
        </is>
      </c>
      <c r="B11" s="168" t="n"/>
      <c r="C11" s="169" t="n"/>
      <c r="D11" s="169" t="n">
        <v>4772218</v>
      </c>
      <c r="XEV11" s="165" t="n"/>
      <c r="XEW11" s="165" t="n"/>
      <c r="XEX11" s="165" t="n"/>
      <c r="XEY11" s="165" t="n"/>
      <c r="XEZ11" s="165" t="n"/>
      <c r="XFA11" s="165" t="n"/>
      <c r="XFB11" s="165" t="n"/>
      <c r="XFC11" s="165" t="n"/>
      <c r="XFD11" s="165" t="n"/>
    </row>
    <row r="12" ht="13.9" customHeight="1" s="112">
      <c r="A12" s="162" t="inlineStr">
        <is>
          <t>Gross profit</t>
        </is>
      </c>
      <c r="B12" s="170">
        <f>IF(B10="",0,IF(AND(B10&lt;&gt;"",B11=""),B10,B10-B11))</f>
        <v/>
      </c>
      <c r="C12" s="171">
        <f>IF(C10="",0,IF(AND(C10&lt;&gt;"",C11=""),C10,C10-C11))</f>
        <v/>
      </c>
      <c r="D12" s="171">
        <f>IF(D10="",0,IF(AND(D10&lt;&gt;"",D11=""),D10,D10-D11))</f>
        <v/>
      </c>
      <c r="XEV12" s="165" t="n"/>
      <c r="XEW12" s="165" t="n"/>
      <c r="XEX12" s="165" t="n"/>
      <c r="XEY12" s="165" t="n"/>
      <c r="XEZ12" s="165" t="n"/>
      <c r="XFA12" s="165" t="n"/>
      <c r="XFB12" s="165" t="n"/>
      <c r="XFC12" s="165" t="n"/>
      <c r="XFD12" s="165" t="n"/>
    </row>
    <row r="13" ht="13.9" customHeight="1" s="112">
      <c r="A13" s="162" t="inlineStr">
        <is>
          <t>Other operating expenses</t>
        </is>
      </c>
      <c r="B13" s="170">
        <f>SUM(B14:B18)</f>
        <v/>
      </c>
      <c r="C13" s="171">
        <f>SUM(C14:C18)</f>
        <v/>
      </c>
      <c r="D13" s="171">
        <f>SUM(D14:D18)</f>
        <v/>
      </c>
    </row>
    <row r="14" ht="13.9" customHeight="1" s="112">
      <c r="A14" s="172" t="inlineStr">
        <is>
          <t>SG&amp;A</t>
        </is>
      </c>
      <c r="B14" s="168" t="n"/>
      <c r="C14" s="169" t="n"/>
      <c r="D14" s="169" t="n">
        <v>986217</v>
      </c>
    </row>
    <row r="15" ht="13.9" customHeight="1" s="112">
      <c r="A15" s="172" t="inlineStr">
        <is>
          <t>Depreciation and amortization</t>
        </is>
      </c>
      <c r="B15" s="168" t="n"/>
      <c r="C15" s="169" t="n"/>
      <c r="D15" s="169" t="n">
        <v>234962</v>
      </c>
      <c r="XEV15" s="165" t="n"/>
      <c r="XEW15" s="165" t="n"/>
      <c r="XEX15" s="165" t="n"/>
      <c r="XEY15" s="165" t="n"/>
      <c r="XEZ15" s="165" t="n"/>
      <c r="XFA15" s="165" t="n"/>
      <c r="XFB15" s="165" t="n"/>
      <c r="XFC15" s="165" t="n"/>
      <c r="XFD15" s="165" t="n"/>
    </row>
    <row r="16" ht="13.9" customHeight="1" s="112">
      <c r="A16" s="172" t="inlineStr">
        <is>
          <t>Foreign exchange loss</t>
        </is>
      </c>
      <c r="B16" s="168" t="n"/>
      <c r="C16" s="169" t="n"/>
      <c r="D16" s="169" t="n">
        <v>0</v>
      </c>
      <c r="XEV16" s="165" t="n"/>
      <c r="XEW16" s="165" t="n"/>
      <c r="XEX16" s="165" t="n"/>
      <c r="XEY16" s="165" t="n"/>
      <c r="XEZ16" s="165" t="n"/>
      <c r="XFA16" s="165" t="n"/>
      <c r="XFB16" s="165" t="n"/>
      <c r="XFC16" s="165" t="n"/>
      <c r="XFD16" s="165" t="n"/>
    </row>
    <row r="17" ht="13.9" customHeight="1" s="112">
      <c r="A17" s="172" t="inlineStr">
        <is>
          <t>Loss on disposal of PPE</t>
        </is>
      </c>
      <c r="B17" s="168" t="n"/>
      <c r="C17" s="169" t="n"/>
      <c r="D17" s="169" t="n">
        <v>0</v>
      </c>
      <c r="XEV17" s="165" t="n"/>
      <c r="XEW17" s="165" t="n"/>
      <c r="XEX17" s="165" t="n"/>
      <c r="XEY17" s="165" t="n"/>
      <c r="XEZ17" s="165" t="n"/>
      <c r="XFA17" s="165" t="n"/>
      <c r="XFB17" s="165" t="n"/>
      <c r="XFC17" s="165" t="n"/>
      <c r="XFD17" s="165" t="n"/>
    </row>
    <row r="18" ht="13.9" customHeight="1" s="112">
      <c r="A18" s="172" t="inlineStr">
        <is>
          <t>Others</t>
        </is>
      </c>
      <c r="B18" s="168" t="n"/>
      <c r="C18" s="169" t="n"/>
      <c r="D18" s="169" t="n">
        <v>0</v>
      </c>
      <c r="XEV18" s="165" t="n"/>
      <c r="XEW18" s="165" t="n"/>
      <c r="XEX18" s="165" t="n"/>
      <c r="XEY18" s="165" t="n"/>
      <c r="XEZ18" s="165" t="n"/>
      <c r="XFA18" s="165" t="n"/>
      <c r="XFB18" s="165" t="n"/>
      <c r="XFC18" s="165" t="n"/>
      <c r="XFD18" s="165" t="n"/>
    </row>
    <row r="19" ht="13.9" customHeight="1" s="112">
      <c r="A19" s="162" t="inlineStr">
        <is>
          <t>Other operating income</t>
        </is>
      </c>
      <c r="B19" s="170">
        <f>SUM(B20:B22)</f>
        <v/>
      </c>
      <c r="C19" s="171">
        <f>SUM(C20:C22)</f>
        <v/>
      </c>
      <c r="D19" s="171">
        <f>SUM(D20:D22)</f>
        <v/>
      </c>
    </row>
    <row r="20" ht="13.9" customHeight="1" s="112">
      <c r="A20" s="172" t="inlineStr">
        <is>
          <t>Foreign exchange gain</t>
        </is>
      </c>
      <c r="B20" s="168" t="n"/>
      <c r="C20" s="169" t="n"/>
      <c r="D20" s="169" t="n">
        <v>3769</v>
      </c>
      <c r="XEV20" s="165" t="n"/>
      <c r="XEW20" s="165" t="n"/>
      <c r="XEX20" s="165" t="n"/>
      <c r="XEY20" s="165" t="n"/>
      <c r="XEZ20" s="165" t="n"/>
      <c r="XFA20" s="165" t="n"/>
      <c r="XFB20" s="165" t="n"/>
      <c r="XFC20" s="165" t="n"/>
      <c r="XFD20" s="165" t="n"/>
    </row>
    <row r="21" ht="13.9" customHeight="1" s="112">
      <c r="A21" s="172" t="inlineStr">
        <is>
          <t>Gain on disposal of PPE</t>
        </is>
      </c>
      <c r="B21" s="168" t="n"/>
      <c r="C21" s="169" t="n"/>
      <c r="D21" s="169" t="n">
        <v>0</v>
      </c>
      <c r="XEV21" s="165" t="n"/>
      <c r="XEW21" s="165" t="n"/>
      <c r="XEX21" s="165" t="n"/>
      <c r="XEY21" s="165" t="n"/>
      <c r="XEZ21" s="165" t="n"/>
      <c r="XFA21" s="165" t="n"/>
      <c r="XFB21" s="165" t="n"/>
      <c r="XFC21" s="165" t="n"/>
      <c r="XFD21" s="165" t="n"/>
    </row>
    <row r="22" ht="13.9" customHeight="1" s="112">
      <c r="A22" s="172" t="inlineStr">
        <is>
          <t>Others</t>
        </is>
      </c>
      <c r="B22" s="168" t="n"/>
      <c r="C22" s="169" t="n"/>
      <c r="D22" s="169" t="n">
        <v>0</v>
      </c>
      <c r="XEV22" s="165" t="n"/>
      <c r="XEW22" s="165" t="n"/>
      <c r="XEX22" s="165" t="n"/>
      <c r="XEY22" s="165" t="n"/>
      <c r="XEZ22" s="165" t="n"/>
      <c r="XFA22" s="165" t="n"/>
      <c r="XFB22" s="165" t="n"/>
      <c r="XFC22" s="165" t="n"/>
      <c r="XFD22" s="165" t="n"/>
    </row>
    <row r="23" ht="13.9" customHeight="1" s="112">
      <c r="A23" s="162" t="inlineStr">
        <is>
          <t>Operating profit</t>
        </is>
      </c>
      <c r="B23" s="170">
        <f>B12-(B13-B19)</f>
        <v/>
      </c>
      <c r="C23" s="171">
        <f>C12-(C13-C19)</f>
        <v/>
      </c>
      <c r="D23" s="171">
        <f>D12-(D13-D19)</f>
        <v/>
      </c>
      <c r="XEV23" s="165" t="n"/>
      <c r="XEW23" s="165" t="n"/>
      <c r="XEX23" s="165" t="n"/>
      <c r="XEY23" s="165" t="n"/>
      <c r="XEZ23" s="165" t="n"/>
      <c r="XFA23" s="165" t="n"/>
      <c r="XFB23" s="165" t="n"/>
      <c r="XFC23" s="165" t="n"/>
      <c r="XFD23" s="165" t="n"/>
    </row>
    <row r="24" ht="13.9" customHeight="1" s="112">
      <c r="A24" s="162" t="inlineStr">
        <is>
          <t>Non-operating expenses</t>
        </is>
      </c>
      <c r="B24" s="170">
        <f>SUM(B25:B28)</f>
        <v/>
      </c>
      <c r="C24" s="171">
        <f>SUM(C25:C28)</f>
        <v/>
      </c>
      <c r="D24" s="171">
        <f>SUM(D25:D28)</f>
        <v/>
      </c>
    </row>
    <row r="25" ht="13.9" customHeight="1" s="112">
      <c r="A25" s="172" t="inlineStr">
        <is>
          <t>Foreign exchange loss</t>
        </is>
      </c>
      <c r="B25" s="168" t="n"/>
      <c r="C25" s="169" t="n"/>
      <c r="D25" s="169" t="n"/>
    </row>
    <row r="26" ht="13.9" customHeight="1" s="112">
      <c r="A26" s="172" t="inlineStr">
        <is>
          <t>Loss on disposal of PPE</t>
        </is>
      </c>
      <c r="B26" s="168" t="n"/>
      <c r="C26" s="169" t="n"/>
      <c r="D26" s="169" t="n"/>
    </row>
    <row r="27" ht="13.9" customHeight="1" s="112">
      <c r="A27" s="172" t="inlineStr">
        <is>
          <t>Interest cost</t>
        </is>
      </c>
      <c r="B27" s="168" t="n"/>
      <c r="C27" s="169" t="n"/>
      <c r="D27" s="169" t="n">
        <v>110673</v>
      </c>
    </row>
    <row r="28" ht="13.9" customHeight="1" s="112">
      <c r="A28" s="172" t="inlineStr">
        <is>
          <t>Others</t>
        </is>
      </c>
      <c r="B28" s="168" t="n"/>
      <c r="C28" s="169" t="n"/>
      <c r="D28" s="169" t="n">
        <v>0</v>
      </c>
    </row>
    <row r="29" ht="13.9" customHeight="1" s="112">
      <c r="A29" s="162" t="inlineStr">
        <is>
          <t>Non-operating income</t>
        </is>
      </c>
      <c r="B29" s="170">
        <f>SUM(B30:B33)</f>
        <v/>
      </c>
      <c r="C29" s="171">
        <f>SUM(C30:C33)</f>
        <v/>
      </c>
      <c r="D29" s="171">
        <f>SUM(D30:D33)</f>
        <v/>
      </c>
    </row>
    <row r="30" ht="13.9" customHeight="1" s="112">
      <c r="A30" s="172" t="inlineStr">
        <is>
          <t>Foreign exchange gain</t>
        </is>
      </c>
      <c r="B30" s="168" t="n"/>
      <c r="C30" s="169" t="n"/>
      <c r="D30" s="169" t="n"/>
    </row>
    <row r="31" ht="13.9" customHeight="1" s="112">
      <c r="A31" s="172" t="inlineStr">
        <is>
          <t>Gain on disposal of PPE</t>
        </is>
      </c>
      <c r="B31" s="168" t="n"/>
      <c r="C31" s="169" t="n"/>
      <c r="D31" s="169" t="n"/>
    </row>
    <row r="32" ht="13.9" customHeight="1" s="112">
      <c r="A32" s="172" t="inlineStr">
        <is>
          <t>Interest income</t>
        </is>
      </c>
      <c r="B32" s="168" t="n"/>
      <c r="C32" s="169" t="n"/>
      <c r="D32" s="169" t="n">
        <v>1572</v>
      </c>
    </row>
    <row r="33" ht="13.9" customHeight="1" s="112">
      <c r="A33" s="172" t="inlineStr">
        <is>
          <t>Others</t>
        </is>
      </c>
      <c r="B33" s="168" t="n"/>
      <c r="C33" s="169" t="n"/>
      <c r="D33" s="169" t="n">
        <v>0</v>
      </c>
    </row>
    <row r="34" ht="13.9" customHeight="1" s="112">
      <c r="A34" s="162" t="inlineStr">
        <is>
          <t>Profit before tax</t>
        </is>
      </c>
      <c r="B34" s="173">
        <f>B23-(B24-B29)</f>
        <v/>
      </c>
      <c r="C34" s="174">
        <f>C23-(C24-C29)</f>
        <v/>
      </c>
      <c r="D34" s="174">
        <f>D23-(D24-D29)</f>
        <v/>
      </c>
    </row>
    <row r="35" ht="13.8" customHeight="1" s="112">
      <c r="A35" s="162" t="n"/>
    </row>
    <row r="36" hidden="1" ht="13.8" customHeight="1" s="112">
      <c r="A36" s="166" t="inlineStr">
        <is>
          <t>Balance Sheet</t>
        </is>
      </c>
    </row>
    <row r="37" hidden="1" ht="13.8" customHeight="1" s="112">
      <c r="A37" s="175" t="inlineStr">
        <is>
          <t>Assets</t>
        </is>
      </c>
    </row>
    <row r="38" hidden="1" ht="13.8" customHeight="1" s="112">
      <c r="A38" s="162" t="inlineStr">
        <is>
          <t>Current assets</t>
        </is>
      </c>
      <c r="B38" s="176" t="n"/>
      <c r="C38" s="177" t="n"/>
      <c r="D38" s="177" t="n">
        <v>3884834</v>
      </c>
    </row>
    <row r="39" hidden="1" ht="13.8" customHeight="1" s="112">
      <c r="A39" s="178" t="inlineStr">
        <is>
          <t>Cash and bank balance</t>
        </is>
      </c>
      <c r="B39" s="176" t="n"/>
      <c r="C39" s="177" t="n"/>
      <c r="D39" s="177" t="n">
        <v>160887</v>
      </c>
    </row>
    <row r="40" hidden="1" ht="13.8" customHeight="1" s="112">
      <c r="A40" s="178" t="inlineStr">
        <is>
          <t>Accounts receivable</t>
        </is>
      </c>
      <c r="B40" s="176" t="n"/>
      <c r="C40" s="177" t="n"/>
      <c r="D40" s="177" t="n">
        <v>1259339</v>
      </c>
    </row>
    <row r="41" hidden="1" ht="13.8" customHeight="1" s="112">
      <c r="A41" s="178" t="inlineStr">
        <is>
          <t>Inventory</t>
        </is>
      </c>
      <c r="B41" s="176" t="n"/>
      <c r="C41" s="177" t="n"/>
      <c r="D41" s="177" t="n">
        <v>2140231</v>
      </c>
    </row>
    <row r="42" hidden="1" ht="13.8" customHeight="1" s="112">
      <c r="A42" s="178" t="inlineStr">
        <is>
          <t>Others (short term)</t>
        </is>
      </c>
      <c r="B42" s="176" t="n"/>
      <c r="C42" s="177" t="n"/>
      <c r="D42" s="177" t="n">
        <v>324377</v>
      </c>
    </row>
    <row r="43" hidden="1" ht="13.8" customHeight="1" s="112">
      <c r="A43" s="162" t="inlineStr">
        <is>
          <t>Fixed assets</t>
        </is>
      </c>
      <c r="B43" s="176" t="n"/>
      <c r="C43" s="177" t="n"/>
      <c r="D43" s="177" t="n"/>
    </row>
    <row r="44" hidden="1" ht="13.8" customHeight="1" s="112">
      <c r="A44" s="178" t="inlineStr">
        <is>
          <t>PPE (net of depreciation)</t>
        </is>
      </c>
      <c r="B44" s="176" t="n"/>
      <c r="C44" s="177" t="n"/>
      <c r="D44" s="177" t="n">
        <v>2801116</v>
      </c>
    </row>
    <row r="45" hidden="1" ht="13.8" customHeight="1" s="112">
      <c r="A45" s="178" t="inlineStr">
        <is>
          <t>Intangibles (net of amortization)</t>
        </is>
      </c>
      <c r="B45" s="176" t="n"/>
      <c r="C45" s="177" t="n"/>
      <c r="D45" s="177" t="n">
        <v>0</v>
      </c>
    </row>
    <row r="46" hidden="1" ht="13.8" customHeight="1" s="112">
      <c r="A46" s="178" t="inlineStr">
        <is>
          <t>Investments</t>
        </is>
      </c>
      <c r="B46" s="176" t="n"/>
      <c r="C46" s="177" t="n"/>
      <c r="D46" s="177" t="n">
        <v>0</v>
      </c>
    </row>
    <row r="47" hidden="1" ht="13.8" customHeight="1" s="112">
      <c r="A47" s="178" t="inlineStr">
        <is>
          <t>Others</t>
        </is>
      </c>
      <c r="B47" s="176" t="n"/>
      <c r="C47" s="177" t="n"/>
      <c r="D47" s="177" t="n"/>
    </row>
    <row r="48" hidden="1" ht="13.8" customHeight="1" s="112">
      <c r="A48" s="162" t="inlineStr">
        <is>
          <t>Other assets</t>
        </is>
      </c>
      <c r="B48" s="176" t="n"/>
      <c r="C48" s="177" t="n"/>
      <c r="D48" s="177" t="n"/>
    </row>
    <row r="49" hidden="1" ht="13.8" customHeight="1" s="112">
      <c r="A49" s="162" t="inlineStr">
        <is>
          <t>Total assets</t>
        </is>
      </c>
      <c r="B49" s="176" t="n"/>
      <c r="C49" s="177" t="n"/>
      <c r="D49" s="177" t="n"/>
    </row>
    <row r="50" hidden="1" ht="13.8" customHeight="1" s="112">
      <c r="A50" s="175" t="inlineStr">
        <is>
          <t>Liabilities</t>
        </is>
      </c>
    </row>
    <row r="51" hidden="1" ht="13.8" customHeight="1" s="112">
      <c r="A51" s="162" t="inlineStr">
        <is>
          <t>Current liabilities</t>
        </is>
      </c>
      <c r="B51" s="176" t="n"/>
      <c r="C51" s="177" t="n"/>
      <c r="D51" s="177" t="n">
        <v>2620947</v>
      </c>
    </row>
    <row r="52" hidden="1" ht="13.8" customHeight="1" s="112">
      <c r="A52" s="178" t="inlineStr">
        <is>
          <t>Accounts payable</t>
        </is>
      </c>
      <c r="B52" s="176" t="n"/>
      <c r="C52" s="177" t="n"/>
      <c r="D52" s="177" t="n">
        <v>1391783</v>
      </c>
    </row>
    <row r="53" hidden="1" ht="13.8" customHeight="1" s="112">
      <c r="A53" s="178" t="inlineStr">
        <is>
          <t>Others (short term)</t>
        </is>
      </c>
      <c r="B53" s="176" t="n"/>
      <c r="C53" s="177" t="n"/>
      <c r="D53" s="177" t="n">
        <v>1229164</v>
      </c>
    </row>
    <row r="54" hidden="1" ht="13.8" customHeight="1" s="112">
      <c r="A54" s="162" t="inlineStr">
        <is>
          <t>Long term liabilities</t>
        </is>
      </c>
      <c r="B54" s="176" t="n"/>
      <c r="C54" s="177" t="n"/>
      <c r="D54" s="177" t="n"/>
    </row>
    <row r="55" hidden="1" ht="13.8" customHeight="1" s="112">
      <c r="A55" s="178" t="inlineStr">
        <is>
          <t>Long term debt</t>
        </is>
      </c>
      <c r="B55" s="176" t="n"/>
      <c r="C55" s="177" t="n"/>
      <c r="D55" s="177" t="n">
        <v>1933546</v>
      </c>
    </row>
    <row r="56" hidden="1" ht="13.8" customHeight="1" s="112">
      <c r="A56" s="178" t="inlineStr">
        <is>
          <t>Others (long term)</t>
        </is>
      </c>
      <c r="B56" s="176" t="n"/>
      <c r="C56" s="177" t="n"/>
      <c r="D56" s="177" t="n">
        <v>34550</v>
      </c>
    </row>
    <row r="57" hidden="1" ht="13.8" customHeight="1" s="112">
      <c r="A57" s="162" t="inlineStr">
        <is>
          <t>Shareholders' equity</t>
        </is>
      </c>
      <c r="B57" s="176" t="n"/>
      <c r="C57" s="177" t="n"/>
      <c r="D57" s="177" t="n">
        <v>2096907</v>
      </c>
    </row>
    <row r="58" hidden="1" ht="13.8" customHeight="1" s="112">
      <c r="A58" s="178" t="inlineStr">
        <is>
          <t>Issued share capital</t>
        </is>
      </c>
      <c r="B58" s="176" t="n"/>
      <c r="C58" s="177" t="n"/>
      <c r="D58" s="177" t="n">
        <v>500000</v>
      </c>
    </row>
    <row r="59" hidden="1" ht="13.8" customHeight="1" s="112">
      <c r="A59" s="178" t="inlineStr">
        <is>
          <t>Reserves and surplus</t>
        </is>
      </c>
      <c r="B59" s="176" t="n"/>
      <c r="C59" s="177" t="n"/>
      <c r="D59" s="177" t="n">
        <v>1596907</v>
      </c>
    </row>
    <row r="60" hidden="1" ht="13.8" customHeight="1" s="112">
      <c r="A60" s="162" t="inlineStr">
        <is>
          <t>Total liabilities and shareholders' equity</t>
        </is>
      </c>
      <c r="B60" s="176" t="n"/>
      <c r="C60" s="177" t="n"/>
      <c r="D60" s="177" t="n"/>
    </row>
    <row r="61" hidden="1" ht="13.8" customHeight="1" s="112">
      <c r="A61" s="162" t="n"/>
    </row>
    <row r="62" hidden="1" ht="13.8" customHeight="1" s="112">
      <c r="A62" s="166" t="inlineStr">
        <is>
          <t>Average Balance Sheet</t>
        </is>
      </c>
    </row>
    <row r="63" hidden="1" ht="13.8" customHeight="1" s="112">
      <c r="A63" s="175" t="inlineStr">
        <is>
          <t>Assets</t>
        </is>
      </c>
    </row>
    <row r="64" hidden="1" ht="13.8" customHeight="1" s="112">
      <c r="A64" s="178" t="inlineStr">
        <is>
          <t>Accounts receivable</t>
        </is>
      </c>
      <c r="B64" s="176" t="n"/>
      <c r="C64" s="177" t="n"/>
      <c r="D64" s="177" t="n"/>
    </row>
    <row r="65" hidden="1" ht="13.8" customHeight="1" s="112">
      <c r="A65" s="178" t="inlineStr">
        <is>
          <t>Inventory</t>
        </is>
      </c>
      <c r="B65" s="176" t="n"/>
      <c r="C65" s="177" t="n"/>
      <c r="D65" s="177" t="n"/>
    </row>
    <row r="66" hidden="1" ht="13.8" customHeight="1" s="112">
      <c r="A66" s="178" t="inlineStr">
        <is>
          <t>Investments</t>
        </is>
      </c>
      <c r="B66" s="176" t="n"/>
      <c r="C66" s="177" t="n"/>
      <c r="D66" s="177" t="n"/>
    </row>
    <row r="67" hidden="1" ht="13.8" customHeight="1" s="112">
      <c r="A67" s="178" t="inlineStr">
        <is>
          <t>Total assets</t>
        </is>
      </c>
      <c r="B67" s="176" t="n"/>
      <c r="C67" s="177" t="n"/>
      <c r="D67" s="177" t="n"/>
    </row>
    <row r="68" hidden="1" ht="13.8" customHeight="1" s="112">
      <c r="A68" s="175" t="inlineStr">
        <is>
          <t>Liabilities</t>
        </is>
      </c>
    </row>
    <row r="69" hidden="1" ht="13.8" customHeight="1" s="112">
      <c r="A69" s="178" t="inlineStr">
        <is>
          <t>Accounts payable</t>
        </is>
      </c>
      <c r="B69" s="176" t="n"/>
      <c r="C69" s="177" t="n"/>
      <c r="D69" s="177" t="n"/>
    </row>
    <row r="70" hidden="1" ht="13.8" customHeight="1" s="112">
      <c r="A70" s="178" t="n"/>
    </row>
    <row r="71" ht="13.8" customHeight="1" s="112">
      <c r="A71" s="166" t="inlineStr">
        <is>
          <t>Profit level indicators</t>
        </is>
      </c>
      <c r="B71" s="179" t="n"/>
      <c r="C71" s="171" t="n"/>
      <c r="D71" s="171" t="n"/>
    </row>
    <row r="72" hidden="1" ht="13.8" customHeight="1" s="112">
      <c r="A72" s="175" t="inlineStr">
        <is>
          <t>Operating profit margin</t>
        </is>
      </c>
    </row>
    <row r="73" hidden="1" ht="13.8" customHeight="1" s="112">
      <c r="A73" s="178" t="inlineStr">
        <is>
          <t>OPM - unadjusted</t>
        </is>
      </c>
      <c r="B73" s="180">
        <f>IF(ISERROR(B23/B10),"",B23/B10)</f>
        <v/>
      </c>
      <c r="C73" s="181">
        <f>IF(ISERROR(C23/C10),"",C23/C10)</f>
        <v/>
      </c>
      <c r="D73" s="181">
        <f>IF(ISERROR(D23/D10),"",D23/D10)</f>
        <v/>
      </c>
    </row>
    <row r="74" hidden="1" ht="13.8" customHeight="1" s="112">
      <c r="A74" s="178" t="inlineStr">
        <is>
          <t>OPM - capital adjusted to zero</t>
        </is>
      </c>
      <c r="B74" s="180">
        <f>IF(ISERROR(B132/B120),"",B132/B120)</f>
        <v/>
      </c>
      <c r="C74" s="181">
        <f>IF(ISERROR(C132/C120),"",C132/C120)</f>
        <v/>
      </c>
      <c r="D74" s="181">
        <f>IF(ISERROR(D132/D120),"",D132/D120)</f>
        <v/>
      </c>
    </row>
    <row r="75" hidden="1" ht="13.8" customHeight="1" s="112">
      <c r="A75" s="178" t="inlineStr">
        <is>
          <t>OPM - capital adjusted to tested party</t>
        </is>
      </c>
      <c r="B75" s="180">
        <f>IF(ISERROR(B133/B121),"",B133/B121)</f>
        <v/>
      </c>
      <c r="C75" s="181">
        <f>IF(ISERROR(C133/C121),"",C133/C121)</f>
        <v/>
      </c>
      <c r="D75" s="181">
        <f>IF(ISERROR(D133/D121),"",D133/D121)</f>
        <v/>
      </c>
    </row>
    <row r="76" hidden="1" ht="13.8" customHeight="1" s="112">
      <c r="A76" s="162" t="n"/>
    </row>
    <row r="77" hidden="1" ht="13.8" customHeight="1" s="112">
      <c r="A77" s="175" t="inlineStr">
        <is>
          <t>Gross margin (net sales)</t>
        </is>
      </c>
    </row>
    <row r="78" hidden="1" ht="13.8" customHeight="1" s="112">
      <c r="A78" s="178" t="inlineStr">
        <is>
          <t>GM - unadjusted</t>
        </is>
      </c>
      <c r="B78" s="182">
        <f>IF(ISERROR(B12/B10),"",B12/B10)</f>
        <v/>
      </c>
      <c r="C78" s="181">
        <f>IF(ISERROR(C12/C10),"",C12/C10)</f>
        <v/>
      </c>
      <c r="D78" s="181">
        <f>IF(ISERROR(D12/D10),"",D12/D10)</f>
        <v/>
      </c>
    </row>
    <row r="79" hidden="1" ht="13.8" customHeight="1" s="112">
      <c r="A79" s="178" t="inlineStr">
        <is>
          <t>GM - capital adjusted to zero</t>
        </is>
      </c>
      <c r="B79" s="182">
        <f>IF(ISERROR(B128/B120),"",B128/B120)</f>
        <v/>
      </c>
      <c r="C79" s="181">
        <f>IF(ISERROR(C128/C120),"",C128/C120)</f>
        <v/>
      </c>
      <c r="D79" s="181">
        <f>IF(ISERROR(D128/D120),"",D128/D120)</f>
        <v/>
      </c>
    </row>
    <row r="80" hidden="1" ht="13.8" customHeight="1" s="112">
      <c r="A80" s="178" t="inlineStr">
        <is>
          <t>GM - capital adjusted to tested party</t>
        </is>
      </c>
      <c r="B80" s="182">
        <f>IF(ISERROR(B129/B121),"",B129/B121)</f>
        <v/>
      </c>
      <c r="C80" s="181">
        <f>IF(ISERROR(C129/C121),"",C129/C121)</f>
        <v/>
      </c>
      <c r="D80" s="181">
        <f>IF(ISERROR(D129/D121),"",D129/D121)</f>
        <v/>
      </c>
    </row>
    <row r="81" hidden="1" ht="13.8" customHeight="1" s="112">
      <c r="A81" s="162" t="n"/>
    </row>
    <row r="82" hidden="1" ht="13.8" customHeight="1" s="112">
      <c r="A82" s="175" t="inlineStr">
        <is>
          <t>Gross margin (cost of goods sold)</t>
        </is>
      </c>
    </row>
    <row r="83" hidden="1" ht="13.8" customHeight="1" s="112">
      <c r="A83" s="178" t="inlineStr">
        <is>
          <t>GM - unadjusted</t>
        </is>
      </c>
      <c r="B83" s="182">
        <f>IF(ISERROR(B12/B11),"",B12/B11)</f>
        <v/>
      </c>
      <c r="C83" s="181">
        <f>IF(ISERROR(C12/C11),"",C12/C11)</f>
        <v/>
      </c>
      <c r="D83" s="181">
        <f>IF(ISERROR(D12/D11),"",D12/D11)</f>
        <v/>
      </c>
    </row>
    <row r="84" hidden="1" ht="13.8" customHeight="1" s="112">
      <c r="A84" s="178" t="inlineStr">
        <is>
          <t>GM - capital adjusted to zero</t>
        </is>
      </c>
      <c r="B84" s="182">
        <f>IF(ISERROR(B128/B124),"",B128/B124)</f>
        <v/>
      </c>
      <c r="C84" s="181">
        <f>IF(ISERROR(C128/C124),"",C128/C124)</f>
        <v/>
      </c>
      <c r="D84" s="181">
        <f>IF(ISERROR(D128/D124),"",D128/D124)</f>
        <v/>
      </c>
    </row>
    <row r="85" hidden="1" ht="13.8" customHeight="1" s="112">
      <c r="A85" s="178" t="inlineStr">
        <is>
          <t>GM - capital adjusted to tested party</t>
        </is>
      </c>
      <c r="B85" s="182">
        <f>IF(ISERROR(B129/B125),"",B129/B125)</f>
        <v/>
      </c>
      <c r="C85" s="181">
        <f>IF(ISERROR(C129/C125),"",C129/C125)</f>
        <v/>
      </c>
      <c r="D85" s="181">
        <f>IF(ISERROR(D129/D125),"",D129/D125)</f>
        <v/>
      </c>
    </row>
    <row r="86" hidden="1" ht="13.8" customHeight="1" s="112">
      <c r="A86" s="162" t="n"/>
    </row>
    <row r="87" ht="13.8" customHeight="1" s="112">
      <c r="A87" s="175" t="inlineStr">
        <is>
          <t>Mark-up on total cost</t>
        </is>
      </c>
    </row>
    <row r="88" ht="13.8" customHeight="1" s="112">
      <c r="A88" s="183" t="inlineStr">
        <is>
          <t>MOTC - unadjusted</t>
        </is>
      </c>
      <c r="B88" s="184">
        <f>IF(ISERROR(B23/B107),"",B23/B107)</f>
        <v/>
      </c>
      <c r="C88" s="185">
        <f>IF(ISERROR(C23/C107),"",C23/C107)</f>
        <v/>
      </c>
      <c r="D88" s="185">
        <f>IF(ISERROR(D23/D107),"",D23/D107)</f>
        <v/>
      </c>
    </row>
    <row r="89" hidden="1" ht="13.8" customHeight="1" s="112">
      <c r="A89" s="178" t="inlineStr">
        <is>
          <t>NCP - capital adjusted to zero</t>
        </is>
      </c>
      <c r="B89" s="182">
        <f>IF(ISERROR(B132/B136),"",B132/B136)</f>
        <v/>
      </c>
      <c r="C89" s="181">
        <f>IF(ISERROR(C132/C136),"",C132/C136)</f>
        <v/>
      </c>
      <c r="D89" s="181">
        <f>IF(ISERROR(D132/D136),"",D132/D136)</f>
        <v/>
      </c>
    </row>
    <row r="90" hidden="1" ht="13.8" customHeight="1" s="112">
      <c r="A90" s="178" t="inlineStr">
        <is>
          <t>NCP - capital adjusted to tested party</t>
        </is>
      </c>
      <c r="B90" s="182">
        <f>IF(ISERROR(B133/B137),"",B133/B137)</f>
        <v/>
      </c>
      <c r="C90" s="181">
        <f>IF(ISERROR(C133/C137),"",C133/C137)</f>
        <v/>
      </c>
      <c r="D90" s="181">
        <f>IF(ISERROR(D133/D137),"",D133/D137)</f>
        <v/>
      </c>
    </row>
    <row r="91" hidden="1" ht="13.8" customHeight="1" s="112">
      <c r="A91" s="178" t="n"/>
    </row>
    <row r="92" hidden="1" ht="13.8" customHeight="1" s="112">
      <c r="A92" s="175" t="inlineStr">
        <is>
          <t>Berry ratio</t>
        </is>
      </c>
    </row>
    <row r="93" hidden="1" ht="13.8" customHeight="1" s="112">
      <c r="A93" s="178" t="inlineStr">
        <is>
          <t>BR - unadjusted</t>
        </is>
      </c>
      <c r="B93" s="186">
        <f>IF(ISERROR(B12/(B12-B23)),"",B12/(B12-B23))</f>
        <v/>
      </c>
      <c r="C93" s="187">
        <f>IF(ISERROR(C12/(C12-C23)),"",C12/(C12-C23))</f>
        <v/>
      </c>
      <c r="D93" s="187">
        <f>IF(ISERROR(D12/(D12-D23)),"",D12/(D12-D23))</f>
        <v/>
      </c>
    </row>
    <row r="94" hidden="1" ht="13.8" customHeight="1" s="112">
      <c r="A94" s="178" t="inlineStr">
        <is>
          <t>BR - capital adjusted to zero</t>
        </is>
      </c>
      <c r="B94" s="186">
        <f>IF(ISERROR(B128/(B128-B132)),"",B128/(B128-B132))</f>
        <v/>
      </c>
      <c r="C94" s="187">
        <f>IF(ISERROR(C128/(C128-C132)),"",C128/(C128-C132))</f>
        <v/>
      </c>
      <c r="D94" s="187">
        <f>IF(ISERROR(D128/(D128-D132)),"",D128/(D128-D132))</f>
        <v/>
      </c>
    </row>
    <row r="95" hidden="1" ht="13.8" customHeight="1" s="112">
      <c r="A95" s="178" t="inlineStr">
        <is>
          <t>BR - capital adjusted to tested party</t>
        </is>
      </c>
      <c r="B95" s="186">
        <f>IF(ISERROR(B129/(B129-B133)),"",B129/(B129-B133))</f>
        <v/>
      </c>
      <c r="C95" s="187">
        <f>IF(ISERROR(C129/(C129-C133)),"",C129/(C129-C133))</f>
        <v/>
      </c>
      <c r="D95" s="187">
        <f>IF(ISERROR(D129/(D129-D133)),"",D129/(D129-D133))</f>
        <v/>
      </c>
    </row>
    <row r="96" hidden="1" ht="13.8" customHeight="1" s="112">
      <c r="A96" s="162" t="n"/>
    </row>
    <row r="97" hidden="1" ht="13.8" customHeight="1" s="112">
      <c r="A97" s="175" t="inlineStr">
        <is>
          <t>Return on assets</t>
        </is>
      </c>
    </row>
    <row r="98" hidden="1" ht="13.8" customHeight="1" s="112">
      <c r="A98" s="178" t="inlineStr">
        <is>
          <t>RoA - unadjusted</t>
        </is>
      </c>
      <c r="B98" s="182">
        <f>IF(ISERROR(B23/B105),"",B23/B105)</f>
        <v/>
      </c>
      <c r="C98" s="181">
        <f>IF(ISERROR(C23/C105),"",C23/C105)</f>
        <v/>
      </c>
      <c r="D98" s="181">
        <f>IF(ISERROR(D23/D105),"",D23/D105)</f>
        <v/>
      </c>
    </row>
    <row r="99" hidden="1" ht="13.8" customHeight="1" s="112">
      <c r="A99" s="178" t="inlineStr">
        <is>
          <t>RoA - capital adjusted to zero</t>
        </is>
      </c>
      <c r="B99" s="182">
        <f>IF(ISERROR(B132/B105),"",B132/B105)</f>
        <v/>
      </c>
      <c r="C99" s="181">
        <f>IF(ISERROR(C132/C105),"",C132/C105)</f>
        <v/>
      </c>
      <c r="D99" s="181">
        <f>IF(ISERROR(D132/D105),"",D132/D105)</f>
        <v/>
      </c>
    </row>
    <row r="100" hidden="1" ht="13.8" customHeight="1" s="112">
      <c r="A100" s="178" t="inlineStr">
        <is>
          <t>RoA - capital adjusted to tested party</t>
        </is>
      </c>
      <c r="B100" s="182">
        <f>IF(ISERROR(B133/B105),"",B133/B105)</f>
        <v/>
      </c>
      <c r="C100" s="181">
        <f>IF(ISERROR(C133/C105),"",C133/C105)</f>
        <v/>
      </c>
      <c r="D100" s="181">
        <f>IF(ISERROR(D133/D105),"",D133/D105)</f>
        <v/>
      </c>
      <c r="XEV100" s="188" t="n"/>
      <c r="XEW100" s="188" t="n"/>
      <c r="XEX100" s="188" t="n"/>
      <c r="XEY100" s="188" t="n"/>
      <c r="XEZ100" s="188" t="n"/>
      <c r="XFA100" s="188" t="n"/>
      <c r="XFB100" s="188" t="n"/>
      <c r="XFC100" s="188" t="n"/>
      <c r="XFD100" s="188" t="n"/>
    </row>
    <row r="101" hidden="1" ht="13.8" customHeight="1" s="112">
      <c r="A101" s="178" t="n"/>
      <c r="XEV101" s="189" t="n"/>
      <c r="XEW101" s="189" t="n"/>
      <c r="XEX101" s="189" t="n"/>
      <c r="XEY101" s="189" t="n"/>
      <c r="XEZ101" s="189" t="n"/>
      <c r="XFA101" s="189" t="n"/>
      <c r="XFB101" s="189" t="n"/>
      <c r="XFC101" s="189" t="n"/>
      <c r="XFD101" s="189" t="n"/>
    </row>
    <row r="102" hidden="1" ht="13.8" customHeight="1" s="112">
      <c r="A102" s="162" t="n"/>
      <c r="XEV102" s="190" t="n"/>
      <c r="XEW102" s="190" t="n"/>
      <c r="XEX102" s="190" t="n"/>
      <c r="XEY102" s="190" t="n"/>
      <c r="XEZ102" s="190" t="n"/>
      <c r="XFA102" s="190" t="n"/>
      <c r="XFB102" s="190" t="n"/>
      <c r="XFC102" s="190" t="n"/>
      <c r="XFD102" s="190" t="n"/>
    </row>
    <row r="103" hidden="1" ht="13.8" customHeight="1" s="112">
      <c r="A103" s="191" t="inlineStr">
        <is>
          <t>Constructed values</t>
        </is>
      </c>
      <c r="B103" s="192" t="n"/>
      <c r="C103" s="193" t="n"/>
      <c r="D103" s="193" t="n"/>
    </row>
    <row r="104" hidden="1" ht="13.8" customHeight="1" s="112">
      <c r="A104" s="191" t="n"/>
      <c r="B104" s="192" t="n"/>
      <c r="C104" s="193" t="n"/>
      <c r="D104" s="193" t="n"/>
    </row>
    <row r="105" hidden="1" ht="13.8" customHeight="1" s="112">
      <c r="A105" s="194" t="inlineStr">
        <is>
          <t>Operating assets</t>
        </is>
      </c>
      <c r="B105" s="192">
        <f>B67-B66</f>
        <v/>
      </c>
      <c r="C105" s="193">
        <f>C67-C66</f>
        <v/>
      </c>
      <c r="D105" s="193">
        <f>D67-D66</f>
        <v/>
      </c>
      <c r="XEV105" s="195" t="n"/>
      <c r="XEW105" s="195" t="n"/>
      <c r="XEX105" s="195" t="n"/>
      <c r="XEY105" s="195" t="n"/>
      <c r="XEZ105" s="195" t="n"/>
      <c r="XFA105" s="195" t="n"/>
      <c r="XFB105" s="195" t="n"/>
      <c r="XFC105" s="195" t="n"/>
      <c r="XFD105" s="195" t="n"/>
    </row>
    <row r="106" hidden="1" ht="13.8" customHeight="1" s="112">
      <c r="A106" s="194" t="n"/>
      <c r="B106" s="192" t="n"/>
      <c r="C106" s="193" t="n"/>
      <c r="D106" s="193" t="n"/>
      <c r="XEV106" s="196" t="n"/>
      <c r="XEW106" s="196" t="n"/>
      <c r="XEX106" s="196" t="n"/>
      <c r="XEY106" s="196" t="n"/>
      <c r="XEZ106" s="196" t="n"/>
      <c r="XFA106" s="196" t="n"/>
      <c r="XFB106" s="196" t="n"/>
      <c r="XFC106" s="196" t="n"/>
      <c r="XFD106" s="196" t="n"/>
    </row>
    <row r="107" ht="13.8" customHeight="1" s="112">
      <c r="A107" s="194" t="inlineStr">
        <is>
          <t>Total cost</t>
        </is>
      </c>
      <c r="B107" s="197">
        <f>B11+B13</f>
        <v/>
      </c>
      <c r="C107" s="198">
        <f>C11+C13</f>
        <v/>
      </c>
      <c r="D107" s="198">
        <f>D11+D13</f>
        <v/>
      </c>
      <c r="XEV107" s="199" t="n"/>
      <c r="XEW107" s="199" t="n"/>
      <c r="XEX107" s="199" t="n"/>
      <c r="XEY107" s="199" t="n"/>
      <c r="XEZ107" s="199" t="n"/>
      <c r="XFA107" s="199" t="n"/>
      <c r="XFB107" s="199" t="n"/>
      <c r="XFC107" s="199" t="n"/>
      <c r="XFD107" s="199" t="n"/>
    </row>
    <row r="108" hidden="1" ht="13.8" customHeight="1" s="112">
      <c r="A108" s="194" t="n"/>
      <c r="B108" s="192" t="n"/>
      <c r="C108" s="193" t="n"/>
      <c r="D108" s="193" t="n"/>
    </row>
    <row r="109" hidden="1" ht="13.8" customHeight="1" s="112">
      <c r="A109" s="200" t="inlineStr">
        <is>
          <t>Capital adjusted to zero</t>
        </is>
      </c>
      <c r="B109" s="192" t="n"/>
      <c r="C109" s="193" t="n"/>
      <c r="D109" s="193" t="n"/>
    </row>
    <row r="110" hidden="1" ht="13.8" customHeight="1" s="112">
      <c r="A110" s="201" t="inlineStr">
        <is>
          <t>Receivables adjustment</t>
        </is>
      </c>
      <c r="B110" s="202">
        <f>(0-(B64/B10))*B10*(#REF!/(1+#REF!))</f>
        <v/>
      </c>
      <c r="C110" s="203">
        <f>(0-(C64/C10))*C10*(#REF!/(1+#REF!))</f>
        <v/>
      </c>
      <c r="D110" s="203">
        <f>(0-(D64/D10))*D10*(#REF!/(1+#REF!))</f>
        <v/>
      </c>
    </row>
    <row r="111" hidden="1" ht="13.8" customHeight="1" s="112">
      <c r="A111" s="204" t="inlineStr">
        <is>
          <t>Inventory adjustment</t>
        </is>
      </c>
      <c r="B111" s="205">
        <f>(0-(B65/B11))*B11*#REF!</f>
        <v/>
      </c>
      <c r="C111" s="206">
        <f>(0-(C65/C11))*C11*#REF!</f>
        <v/>
      </c>
      <c r="D111" s="206">
        <f>(0-(D65/D11))*D11*#REF!</f>
        <v/>
      </c>
    </row>
    <row r="112" hidden="1" ht="13.8" customHeight="1" s="112">
      <c r="A112" s="207" t="inlineStr">
        <is>
          <t>Payables adjustment</t>
        </is>
      </c>
      <c r="B112" s="208">
        <f>(0-(B69/B11))*B11*(#REF!/(1+#REF!))</f>
        <v/>
      </c>
      <c r="C112" s="209">
        <f>(0-(C69/C11))*C11*(#REF!/(1+#REF!))</f>
        <v/>
      </c>
      <c r="D112" s="209">
        <f>(0-(D69/D11))*D11*(#REF!/(1+#REF!))</f>
        <v/>
      </c>
    </row>
    <row r="113" hidden="1" ht="13.8" customHeight="1" s="112">
      <c r="A113" s="210" t="n"/>
      <c r="B113" s="192" t="n"/>
      <c r="C113" s="193" t="n"/>
      <c r="D113" s="193" t="n"/>
    </row>
    <row r="114" hidden="1" ht="13.8" customHeight="1" s="112">
      <c r="A114" s="200" t="inlineStr">
        <is>
          <t>Capital adjusted to tested party</t>
        </is>
      </c>
      <c r="B114" s="192" t="n"/>
      <c r="C114" s="193" t="n"/>
      <c r="D114" s="193" t="n"/>
    </row>
    <row r="115" hidden="1" ht="13.8" customHeight="1" s="112">
      <c r="A115" s="211" t="inlineStr">
        <is>
          <t>Receivables adjustment</t>
        </is>
      </c>
      <c r="B115" s="212">
        <f>((#REF!/#REF!)-(B64/B10))*B10*(#REF!/(1+#REF!))</f>
        <v/>
      </c>
      <c r="C115" s="213">
        <f>((#REF!/#REF!)-(C64/C10))*C10*(#REF!/(1+#REF!))</f>
        <v/>
      </c>
      <c r="D115" s="213">
        <f>((#REF!/#REF!)-(D64/D10))*D10*(#REF!/(1+#REF!))</f>
        <v/>
      </c>
    </row>
    <row r="116" hidden="1" ht="13.8" customHeight="1" s="112">
      <c r="A116" s="214" t="inlineStr">
        <is>
          <t>Inventory adjustment</t>
        </is>
      </c>
      <c r="B116" s="215">
        <f>((#REF!/#REF!)-(B65/B11))*B11*#REF!</f>
        <v/>
      </c>
      <c r="C116" s="216">
        <f>((#REF!/#REF!)-(C65/C11))*C11*#REF!</f>
        <v/>
      </c>
      <c r="D116" s="216">
        <f>((#REF!/#REF!)-(D65/D11))*D11*#REF!</f>
        <v/>
      </c>
    </row>
    <row r="117" hidden="1" ht="13.8" customHeight="1" s="112">
      <c r="A117" s="217" t="inlineStr">
        <is>
          <t>Payables adjustment</t>
        </is>
      </c>
      <c r="B117" s="218">
        <f>((#REF!/#REF!)-(B69/B11))*B11*(#REF!/(1+#REF!))</f>
        <v/>
      </c>
      <c r="C117" s="219">
        <f>((#REF!/#REF!)-(C69/C11))*C11*(#REF!/(1+#REF!))</f>
        <v/>
      </c>
      <c r="D117" s="219">
        <f>((#REF!/#REF!)-(D69/D11))*D11*(#REF!/(1+#REF!))</f>
        <v/>
      </c>
    </row>
    <row r="118" hidden="1" ht="13.8" customHeight="1" s="112">
      <c r="A118" s="210" t="n"/>
      <c r="B118" s="192" t="n"/>
      <c r="C118" s="193" t="n"/>
      <c r="D118" s="193" t="n"/>
    </row>
    <row r="119" hidden="1" ht="13.8" customHeight="1" s="112">
      <c r="A119" s="194" t="inlineStr">
        <is>
          <t>Adjusted net sales</t>
        </is>
      </c>
      <c r="B119" s="192" t="n"/>
      <c r="C119" s="193" t="n"/>
      <c r="D119" s="193" t="n"/>
    </row>
    <row r="120" hidden="1" ht="13.8" customHeight="1" s="112">
      <c r="A120" s="210" t="inlineStr">
        <is>
          <t>Adjusted to zero</t>
        </is>
      </c>
      <c r="B120" s="192">
        <f>B10+B110</f>
        <v/>
      </c>
      <c r="C120" s="193">
        <f>C10+C110</f>
        <v/>
      </c>
      <c r="D120" s="193">
        <f>D10+D110</f>
        <v/>
      </c>
    </row>
    <row r="121" hidden="1" ht="13.8" customHeight="1" s="112">
      <c r="A121" s="210" t="inlineStr">
        <is>
          <t>Adjusted to tested party</t>
        </is>
      </c>
      <c r="B121" s="192">
        <f>B10+B115</f>
        <v/>
      </c>
      <c r="C121" s="193">
        <f>C10+C115</f>
        <v/>
      </c>
      <c r="D121" s="193">
        <f>D10+D115</f>
        <v/>
      </c>
    </row>
    <row r="122" hidden="1" ht="13.8" customHeight="1" s="112">
      <c r="A122" s="210" t="n"/>
      <c r="B122" s="192" t="n"/>
      <c r="C122" s="193" t="n"/>
      <c r="D122" s="193" t="n"/>
    </row>
    <row r="123" hidden="1" ht="13.8" customHeight="1" s="112">
      <c r="A123" s="194" t="inlineStr">
        <is>
          <t>Adjusted cost of goods sold</t>
        </is>
      </c>
      <c r="B123" s="192" t="n"/>
      <c r="C123" s="193" t="n"/>
      <c r="D123" s="193" t="n"/>
    </row>
    <row r="124" hidden="1" ht="13.8" customHeight="1" s="112">
      <c r="A124" s="210" t="inlineStr">
        <is>
          <t>Adjusted to zero</t>
        </is>
      </c>
      <c r="B124" s="192">
        <f>B11-B111+B112</f>
        <v/>
      </c>
      <c r="C124" s="193">
        <f>C11-C111+C112</f>
        <v/>
      </c>
      <c r="D124" s="193">
        <f>D11-D111+D112</f>
        <v/>
      </c>
    </row>
    <row r="125" hidden="1" ht="13.8" customHeight="1" s="112">
      <c r="A125" s="210" t="inlineStr">
        <is>
          <t>Adjusted to tested party</t>
        </is>
      </c>
      <c r="B125" s="192">
        <f>B11-B116+B117</f>
        <v/>
      </c>
      <c r="C125" s="193">
        <f>C11-C116+C117</f>
        <v/>
      </c>
      <c r="D125" s="193">
        <f>D11-D116+D117</f>
        <v/>
      </c>
    </row>
    <row r="126" hidden="1" ht="13.8" customHeight="1" s="112">
      <c r="A126" s="210" t="n"/>
      <c r="B126" s="192" t="n"/>
      <c r="C126" s="193" t="n"/>
      <c r="D126" s="193" t="n"/>
    </row>
    <row r="127" hidden="1" ht="13.8" customHeight="1" s="112">
      <c r="A127" s="194" t="inlineStr">
        <is>
          <t>Adjusted gross profit</t>
        </is>
      </c>
      <c r="B127" s="192" t="n"/>
      <c r="C127" s="193" t="n"/>
      <c r="D127" s="193" t="n"/>
    </row>
    <row r="128" hidden="1" ht="13.8" customHeight="1" s="112">
      <c r="A128" s="210" t="inlineStr">
        <is>
          <t>Adjusted to zero</t>
        </is>
      </c>
      <c r="B128" s="192">
        <f>B12+B110+B111-B112</f>
        <v/>
      </c>
      <c r="C128" s="193">
        <f>C12+C110+C111-C112</f>
        <v/>
      </c>
      <c r="D128" s="193">
        <f>D12+D110+D111-D112</f>
        <v/>
      </c>
    </row>
    <row r="129" hidden="1" ht="13.8" customHeight="1" s="112">
      <c r="A129" s="210" t="inlineStr">
        <is>
          <t>Adjusted to tested party</t>
        </is>
      </c>
      <c r="B129" s="192">
        <f>B12+B115+B116-B117</f>
        <v/>
      </c>
      <c r="C129" s="193">
        <f>C12+C115+C116-C117</f>
        <v/>
      </c>
      <c r="D129" s="193">
        <f>D12+D115+D116-D117</f>
        <v/>
      </c>
    </row>
    <row r="130" hidden="1" ht="13.8" customHeight="1" s="112">
      <c r="A130" s="210" t="n"/>
      <c r="B130" s="192" t="n"/>
      <c r="C130" s="193" t="n"/>
      <c r="D130" s="193" t="n"/>
    </row>
    <row r="131" hidden="1" ht="13.8" customHeight="1" s="112">
      <c r="A131" s="194" t="inlineStr">
        <is>
          <t>Adjusted operating profit</t>
        </is>
      </c>
      <c r="B131" s="192" t="n"/>
      <c r="C131" s="193" t="n"/>
      <c r="D131" s="193" t="n"/>
    </row>
    <row r="132" hidden="1" ht="13.8" customHeight="1" s="112">
      <c r="A132" s="210" t="inlineStr">
        <is>
          <t>Adjusted to zero</t>
        </is>
      </c>
      <c r="B132" s="192">
        <f>B23+B110+B111-B112</f>
        <v/>
      </c>
      <c r="C132" s="193">
        <f>C23+C110+C111-C112</f>
        <v/>
      </c>
      <c r="D132" s="193">
        <f>D23+D110+D111-D112</f>
        <v/>
      </c>
    </row>
    <row r="133" hidden="1" ht="13.8" customHeight="1" s="112">
      <c r="A133" s="210" t="inlineStr">
        <is>
          <t>Adjusted to tested party</t>
        </is>
      </c>
      <c r="B133" s="192">
        <f>B23+B115+B116-B117</f>
        <v/>
      </c>
      <c r="C133" s="193">
        <f>C23+C115+C116-C117</f>
        <v/>
      </c>
      <c r="D133" s="193">
        <f>D23+D115+D116-D117</f>
        <v/>
      </c>
      <c r="XEV133" s="188" t="n"/>
      <c r="XEW133" s="188" t="n"/>
      <c r="XEX133" s="188" t="n"/>
      <c r="XEY133" s="188" t="n"/>
      <c r="XEZ133" s="188" t="n"/>
      <c r="XFA133" s="188" t="n"/>
      <c r="XFB133" s="188" t="n"/>
      <c r="XFC133" s="188" t="n"/>
      <c r="XFD133" s="188" t="n"/>
    </row>
    <row r="134" hidden="1" ht="13.8" customHeight="1" s="112">
      <c r="A134" s="210" t="n"/>
      <c r="B134" s="192" t="n"/>
      <c r="C134" s="193" t="n"/>
      <c r="D134" s="193" t="n"/>
      <c r="XEV134" s="189" t="n"/>
      <c r="XEW134" s="189" t="n"/>
      <c r="XEX134" s="189" t="n"/>
      <c r="XEY134" s="189" t="n"/>
      <c r="XEZ134" s="189" t="n"/>
      <c r="XFA134" s="189" t="n"/>
      <c r="XFB134" s="189" t="n"/>
      <c r="XFC134" s="189" t="n"/>
      <c r="XFD134" s="189" t="n"/>
    </row>
    <row r="135" hidden="1" ht="13.8" customHeight="1" s="112">
      <c r="A135" s="194" t="inlineStr">
        <is>
          <t>Adjusted total cost</t>
        </is>
      </c>
      <c r="B135" s="192" t="n"/>
      <c r="C135" s="193" t="n"/>
      <c r="D135" s="193" t="n"/>
      <c r="XEV135" s="190" t="n"/>
      <c r="XEW135" s="190" t="n"/>
      <c r="XEX135" s="190" t="n"/>
      <c r="XEY135" s="190" t="n"/>
      <c r="XEZ135" s="190" t="n"/>
      <c r="XFA135" s="190" t="n"/>
      <c r="XFB135" s="190" t="n"/>
      <c r="XFC135" s="190" t="n"/>
      <c r="XFD135" s="190" t="n"/>
    </row>
    <row r="136" hidden="1" ht="13.8" customHeight="1" s="112">
      <c r="A136" s="210" t="inlineStr">
        <is>
          <t>Adjusted to zero</t>
        </is>
      </c>
      <c r="B136" s="192">
        <f>B107-B111+B112</f>
        <v/>
      </c>
      <c r="C136" s="193">
        <f>C107-C111+C112</f>
        <v/>
      </c>
      <c r="D136" s="193">
        <f>D107-D111+D112</f>
        <v/>
      </c>
    </row>
    <row r="137" hidden="1" ht="13.8" customHeight="1" s="112">
      <c r="A137" s="210" t="inlineStr">
        <is>
          <t>Adjusted to tested party</t>
        </is>
      </c>
      <c r="B137" s="192">
        <f>B107-B116+B117</f>
        <v/>
      </c>
      <c r="C137" s="193">
        <f>C107-C116+C117</f>
        <v/>
      </c>
      <c r="D137" s="193">
        <f>D107-D116+D117</f>
        <v/>
      </c>
    </row>
    <row r="138" hidden="1" ht="13.8" customHeight="1" s="112">
      <c r="A138" s="220" t="n"/>
      <c r="XEV138" s="195" t="n"/>
      <c r="XEW138" s="195" t="n"/>
      <c r="XEX138" s="195" t="n"/>
      <c r="XEY138" s="195" t="n"/>
      <c r="XEZ138" s="195" t="n"/>
      <c r="XFA138" s="195" t="n"/>
      <c r="XFB138" s="195" t="n"/>
      <c r="XFC138" s="195" t="n"/>
      <c r="XFD138" s="195" t="n"/>
    </row>
    <row r="139" hidden="1" ht="13.8" customHeight="1" s="112">
      <c r="A139" s="220" t="n"/>
      <c r="XEV139" s="196" t="n"/>
      <c r="XEW139" s="196" t="n"/>
      <c r="XEX139" s="196" t="n"/>
      <c r="XEY139" s="196" t="n"/>
      <c r="XEZ139" s="196" t="n"/>
      <c r="XFA139" s="196" t="n"/>
      <c r="XFB139" s="196" t="n"/>
      <c r="XFC139" s="196" t="n"/>
      <c r="XFD139" s="196" t="n"/>
    </row>
    <row r="140" hidden="1" ht="13.8" customHeight="1" s="112">
      <c r="A140" s="191" t="inlineStr">
        <is>
          <t>Service company adjustments</t>
        </is>
      </c>
      <c r="B140" s="192" t="n"/>
      <c r="C140" s="193" t="n"/>
      <c r="D140" s="193" t="n"/>
      <c r="XEV140" s="199" t="n"/>
      <c r="XEW140" s="199" t="n"/>
      <c r="XEX140" s="199" t="n"/>
      <c r="XEY140" s="199" t="n"/>
      <c r="XEZ140" s="199" t="n"/>
      <c r="XFA140" s="199" t="n"/>
      <c r="XFB140" s="199" t="n"/>
      <c r="XFC140" s="199" t="n"/>
      <c r="XFD140" s="199" t="n"/>
    </row>
    <row r="141" hidden="1" ht="13.8" customHeight="1" s="112">
      <c r="A141" s="191" t="n"/>
      <c r="B141" s="192" t="n"/>
      <c r="C141" s="193" t="n"/>
      <c r="D141" s="193" t="n"/>
    </row>
    <row r="142" hidden="1" ht="13.8" customHeight="1" s="112">
      <c r="A142" s="200" t="inlineStr">
        <is>
          <t>Capital adjusted to zero</t>
        </is>
      </c>
      <c r="B142" s="192" t="n"/>
      <c r="C142" s="193" t="n"/>
      <c r="D142" s="193" t="n"/>
    </row>
    <row r="143" hidden="1" ht="13.8" customHeight="1" s="112">
      <c r="A143" s="201" t="inlineStr">
        <is>
          <t>Receivables adjustment</t>
        </is>
      </c>
      <c r="B143" s="202">
        <f>(0-(B64/B10))*B10*(#REF!/(1+#REF!))</f>
        <v/>
      </c>
      <c r="C143" s="203">
        <f>(0-(C64/C10))*C10*(#REF!/(1+#REF!))</f>
        <v/>
      </c>
      <c r="D143" s="203">
        <f>(0-(D64/D10))*D10*(#REF!/(1+#REF!))</f>
        <v/>
      </c>
    </row>
    <row r="144" hidden="1" ht="13.8" customHeight="1" s="112">
      <c r="A144" s="204" t="inlineStr">
        <is>
          <t>Inventory adjustment</t>
        </is>
      </c>
      <c r="B144" s="205">
        <f>(0-(B65/B107))*B107*#REF!</f>
        <v/>
      </c>
      <c r="C144" s="206">
        <f>(0-(C65/C107))*C107*#REF!</f>
        <v/>
      </c>
      <c r="D144" s="206">
        <f>(0-(D65/D107))*D107*#REF!</f>
        <v/>
      </c>
    </row>
    <row r="145" hidden="1" ht="13.8" customHeight="1" s="112">
      <c r="A145" s="207" t="inlineStr">
        <is>
          <t>Payables adjustment</t>
        </is>
      </c>
      <c r="B145" s="208">
        <f>(0-(B69/B107))*B107*(#REF!/(1+#REF!))</f>
        <v/>
      </c>
      <c r="C145" s="209">
        <f>(0-(C69/C107))*C107*(#REF!/(1+#REF!))</f>
        <v/>
      </c>
      <c r="D145" s="209">
        <f>(0-(D69/D107))*D107*(#REF!/(1+#REF!))</f>
        <v/>
      </c>
    </row>
    <row r="146" hidden="1" ht="13.8" customHeight="1" s="112">
      <c r="A146" s="210" t="n"/>
      <c r="B146" s="192" t="n"/>
      <c r="C146" s="193" t="n"/>
      <c r="D146" s="193" t="n"/>
    </row>
    <row r="147" hidden="1" ht="13.8" customHeight="1" s="112">
      <c r="A147" s="200" t="inlineStr">
        <is>
          <t>Capital adjusted to tested party</t>
        </is>
      </c>
      <c r="B147" s="192" t="n"/>
      <c r="C147" s="193" t="n"/>
      <c r="D147" s="193" t="n"/>
    </row>
    <row r="148" hidden="1" ht="13.8" customHeight="1" s="112">
      <c r="A148" s="211" t="inlineStr">
        <is>
          <t>Receivables adjustment</t>
        </is>
      </c>
      <c r="B148" s="212">
        <f>((#REF!/#REF!)-(B64/B10))*B10*(#REF!/(1+#REF!))</f>
        <v/>
      </c>
      <c r="C148" s="213">
        <f>((#REF!/#REF!)-(C64/C10))*C10*(#REF!/(1+#REF!))</f>
        <v/>
      </c>
      <c r="D148" s="213">
        <f>((#REF!/#REF!)-(D64/D10))*D10*(#REF!/(1+#REF!))</f>
        <v/>
      </c>
    </row>
    <row r="149" hidden="1" ht="13.8" customHeight="1" s="112">
      <c r="A149" s="214" t="inlineStr">
        <is>
          <t>Inventory adjustment</t>
        </is>
      </c>
      <c r="B149" s="215">
        <f>((#REF!/#REF!)-(B65/B107))*B107*#REF!</f>
        <v/>
      </c>
      <c r="C149" s="216">
        <f>((#REF!/#REF!)-(C65/C107))*C107*#REF!</f>
        <v/>
      </c>
      <c r="D149" s="216">
        <f>((#REF!/#REF!)-(D65/D107))*D107*#REF!</f>
        <v/>
      </c>
    </row>
    <row r="150" hidden="1" ht="13.8" customHeight="1" s="112">
      <c r="A150" s="217" t="inlineStr">
        <is>
          <t>Payables adjustment</t>
        </is>
      </c>
      <c r="B150" s="218">
        <f>((#REF!/#REF!)-(B69/B107))*B107*(#REF!/(1+#REF!))</f>
        <v/>
      </c>
      <c r="C150" s="219">
        <f>((#REF!/#REF!)-(C69/C107))*C107*(#REF!/(1+#REF!))</f>
        <v/>
      </c>
      <c r="D150" s="219">
        <f>((#REF!/#REF!)-(D69/D107))*D107*(#REF!/(1+#REF!))</f>
        <v/>
      </c>
    </row>
    <row r="151" ht="13.8" customHeight="1" s="112">
      <c r="A151" s="220" t="n"/>
    </row>
    <row r="152" ht="13.8" customHeight="1" s="112">
      <c r="A152" s="220" t="n"/>
    </row>
    <row r="153" ht="13.8" customHeight="1" s="112">
      <c r="A153" s="220" t="n"/>
    </row>
    <row r="154" ht="13.8" customHeight="1" s="112">
      <c r="A154" s="220" t="n"/>
    </row>
    <row r="155" ht="13.8" customHeight="1" s="112">
      <c r="A155" s="220" t="n"/>
    </row>
    <row r="156" ht="13.8" customHeight="1" s="112">
      <c r="A156" s="220" t="n"/>
    </row>
    <row r="157" ht="13.8" customHeight="1" s="112">
      <c r="A157" s="220" t="n"/>
    </row>
    <row r="158" ht="13.8" customHeight="1" s="112">
      <c r="A158" s="220" t="n"/>
    </row>
    <row r="159" ht="13.8" customHeight="1" s="112">
      <c r="A159" s="220" t="n"/>
    </row>
    <row r="160" ht="13.8" customHeight="1" s="112">
      <c r="A160" s="220" t="n"/>
    </row>
    <row r="161" ht="13.8" customHeight="1" s="112">
      <c r="A161" s="220" t="n"/>
    </row>
    <row r="162" ht="13.8" customHeight="1" s="112">
      <c r="A162" s="220" t="n"/>
    </row>
    <row r="163" ht="13.8" customHeight="1" s="112">
      <c r="A163" s="220" t="n"/>
    </row>
    <row r="164" ht="13.8" customHeight="1" s="112">
      <c r="A164" s="220" t="n"/>
    </row>
    <row r="165" ht="13.8" customHeight="1" s="112">
      <c r="A165" s="220" t="n"/>
    </row>
    <row r="166" ht="13.8" customHeight="1" s="112">
      <c r="A166" s="220" t="n"/>
    </row>
    <row r="167" ht="13.8" customHeight="1" s="112">
      <c r="A167" s="220" t="n"/>
    </row>
    <row r="168" ht="13.8" customHeight="1" s="112">
      <c r="A168" s="220" t="n"/>
    </row>
    <row r="169" ht="13.8" customHeight="1" s="112">
      <c r="A169" s="220" t="n"/>
    </row>
    <row r="170" ht="13.8" customHeight="1" s="112">
      <c r="A170" s="220" t="n"/>
    </row>
    <row r="171" ht="13.8" customHeight="1" s="112">
      <c r="A171" s="220" t="n"/>
    </row>
    <row r="172" ht="13.8" customHeight="1" s="112">
      <c r="A172" s="220" t="n"/>
    </row>
    <row r="173" ht="13.8" customHeight="1" s="112">
      <c r="A173" s="220" t="n"/>
    </row>
    <row r="174" ht="13.8" customHeight="1" s="112">
      <c r="A174" s="220" t="n"/>
    </row>
    <row r="175" ht="13.8" customHeight="1" s="112">
      <c r="A175" s="220" t="n"/>
    </row>
    <row r="176" ht="13.8" customHeight="1" s="112">
      <c r="A176" s="220" t="n"/>
    </row>
    <row r="177" ht="13.8" customHeight="1" s="112">
      <c r="A177" s="220" t="n"/>
    </row>
    <row r="178" ht="13.8" customHeight="1" s="112">
      <c r="A178" s="220" t="n"/>
    </row>
    <row r="179" ht="13.8" customHeight="1" s="112">
      <c r="A179" s="220" t="n"/>
    </row>
    <row r="180" ht="13.8" customHeight="1" s="112">
      <c r="A180" s="220" t="n"/>
    </row>
    <row r="181" ht="13.8" customHeight="1" s="112">
      <c r="A181" s="220" t="n"/>
    </row>
    <row r="182" ht="13.8" customHeight="1" s="112">
      <c r="A182" s="220" t="n"/>
    </row>
    <row r="183" ht="13.8" customHeight="1" s="112">
      <c r="A183" s="220" t="n"/>
    </row>
    <row r="184" ht="13.8" customHeight="1" s="112">
      <c r="A184" s="220" t="n"/>
    </row>
    <row r="185" ht="13.8" customHeight="1" s="112">
      <c r="A185" s="220" t="n"/>
    </row>
    <row r="186" ht="13.8" customHeight="1" s="112">
      <c r="A186" s="220" t="n"/>
    </row>
    <row r="187" ht="13.8" customHeight="1" s="112">
      <c r="A187" s="220" t="n"/>
    </row>
    <row r="188" ht="13.8" customHeight="1" s="112">
      <c r="A188" s="220" t="n"/>
    </row>
    <row r="189" ht="13.8" customHeight="1" s="112">
      <c r="A189" s="220" t="n"/>
    </row>
    <row r="190" ht="13.8" customHeight="1" s="112">
      <c r="A190" s="220" t="n"/>
    </row>
    <row r="191" ht="13.8" customHeight="1" s="112">
      <c r="A191" s="220" t="n"/>
    </row>
    <row r="192" ht="13.8" customHeight="1" s="112">
      <c r="A192" s="220" t="n"/>
    </row>
    <row r="193" ht="13.8" customHeight="1" s="112">
      <c r="A193" s="220" t="n"/>
    </row>
    <row r="194" ht="13.8" customHeight="1" s="112">
      <c r="A194" s="220" t="n"/>
    </row>
    <row r="195" ht="13.8" customHeight="1" s="112">
      <c r="A195" s="220" t="n"/>
    </row>
    <row r="196" ht="13.8" customHeight="1" s="112">
      <c r="A196" s="220" t="n"/>
    </row>
    <row r="197" ht="13.8" customHeight="1" s="112">
      <c r="A197" s="220" t="n"/>
    </row>
    <row r="198" ht="13.8" customHeight="1" s="112">
      <c r="A198" s="220" t="n"/>
    </row>
    <row r="199" ht="13.8" customHeight="1" s="112">
      <c r="A199" s="220" t="n"/>
    </row>
    <row r="200" ht="13.8" customHeight="1" s="112">
      <c r="A200" s="220" t="n"/>
    </row>
    <row r="201" ht="13.8" customHeight="1" s="112">
      <c r="A201" s="220" t="n"/>
    </row>
    <row r="202" ht="13.8" customHeight="1" s="112">
      <c r="A202" s="220" t="n"/>
    </row>
    <row r="203" ht="13.8" customHeight="1" s="112">
      <c r="A203" s="220" t="n"/>
    </row>
    <row r="204" ht="13.8" customHeight="1" s="112">
      <c r="A204" s="220" t="n"/>
    </row>
    <row r="205" ht="13.8" customHeight="1" s="112">
      <c r="A205" s="220" t="n"/>
    </row>
    <row r="206" ht="13.8" customHeight="1" s="112">
      <c r="A206" s="220" t="n"/>
    </row>
    <row r="207" ht="13.8" customHeight="1" s="112">
      <c r="A207" s="220" t="n"/>
    </row>
    <row r="208" ht="13.8" customHeight="1" s="112">
      <c r="A208" s="220" t="n"/>
    </row>
    <row r="209" ht="13.8" customHeight="1" s="112">
      <c r="A209" s="220" t="n"/>
    </row>
    <row r="210" ht="13.8" customHeight="1" s="112">
      <c r="A210" s="220" t="n"/>
    </row>
    <row r="211" ht="13.8" customHeight="1" s="112">
      <c r="A211" s="220" t="n"/>
    </row>
    <row r="212" ht="13.8" customHeight="1" s="112">
      <c r="A212" s="220" t="n"/>
    </row>
    <row r="213" ht="13.8" customHeight="1" s="112">
      <c r="A213" s="220" t="n"/>
    </row>
    <row r="214" ht="13.8" customHeight="1" s="112">
      <c r="A214" s="220" t="n"/>
    </row>
    <row r="215" ht="13.8" customHeight="1" s="112">
      <c r="A215" s="220" t="n"/>
    </row>
    <row r="216" ht="13.8" customHeight="1" s="112">
      <c r="A216" s="220" t="n"/>
    </row>
    <row r="217" ht="13.8" customHeight="1" s="112">
      <c r="A217" s="220" t="n"/>
    </row>
    <row r="218" ht="13.8" customHeight="1" s="112">
      <c r="A218" s="220" t="n"/>
    </row>
    <row r="219" ht="13.8" customHeight="1" s="112">
      <c r="A219" s="220" t="n"/>
    </row>
    <row r="220" ht="13.8" customHeight="1" s="112">
      <c r="A220" s="220" t="n"/>
    </row>
    <row r="221" ht="13.8" customHeight="1" s="112">
      <c r="A221" s="220" t="n"/>
    </row>
    <row r="222" ht="13.8" customHeight="1" s="112">
      <c r="A222" s="220" t="n"/>
    </row>
    <row r="223" ht="13.8" customHeight="1" s="112">
      <c r="A223" s="220" t="n"/>
    </row>
    <row r="224" ht="13.8" customHeight="1" s="112">
      <c r="A224" s="220" t="n"/>
    </row>
    <row r="225" ht="13.8" customHeight="1" s="112">
      <c r="A225" s="220" t="n"/>
    </row>
    <row r="226" ht="13.8" customHeight="1" s="112">
      <c r="A226" s="220" t="n"/>
    </row>
    <row r="227" ht="13.8" customHeight="1" s="112">
      <c r="A227" s="220" t="n"/>
    </row>
    <row r="228" ht="13.8" customHeight="1" s="112">
      <c r="A228" s="220" t="n"/>
    </row>
    <row r="229" ht="13.8" customHeight="1" s="112">
      <c r="A229" s="220" t="n"/>
    </row>
    <row r="230" ht="13.8" customHeight="1" s="112">
      <c r="A230" s="220" t="n"/>
    </row>
    <row r="231" ht="13.8" customHeight="1" s="112">
      <c r="A231" s="220" t="n"/>
    </row>
    <row r="232" ht="13.8" customHeight="1" s="112">
      <c r="A232" s="220" t="n"/>
    </row>
    <row r="233" ht="13.8" customHeight="1" s="112">
      <c r="A233" s="220" t="n"/>
    </row>
    <row r="234" ht="13.8" customHeight="1" s="112">
      <c r="A234" s="220" t="n"/>
    </row>
    <row r="235" ht="13.8" customHeight="1" s="112">
      <c r="A235" s="220" t="n"/>
    </row>
    <row r="236" ht="13.8" customHeight="1" s="112">
      <c r="A236" s="220" t="n"/>
    </row>
    <row r="237" ht="13.8" customHeight="1" s="112">
      <c r="A237" s="220" t="n"/>
    </row>
    <row r="238" ht="13.8" customHeight="1" s="112">
      <c r="A238" s="220" t="n"/>
    </row>
    <row r="239" ht="13.8" customHeight="1" s="112">
      <c r="A239" s="220" t="n"/>
    </row>
    <row r="240" ht="13.8" customHeight="1" s="112">
      <c r="A240" s="220" t="n"/>
    </row>
    <row r="241" ht="13.8" customHeight="1" s="112">
      <c r="A241" s="220" t="n"/>
    </row>
    <row r="242" ht="13.8" customHeight="1" s="112">
      <c r="A242" s="220" t="n"/>
    </row>
    <row r="243" ht="13.8" customHeight="1" s="112">
      <c r="A243" s="220" t="n"/>
    </row>
    <row r="244" ht="13.8" customHeight="1" s="112">
      <c r="A244" s="220" t="n"/>
    </row>
    <row r="245" ht="13.8" customHeight="1" s="112">
      <c r="A245" s="220" t="n"/>
    </row>
    <row r="246" ht="13.8" customHeight="1" s="112">
      <c r="A246" s="220" t="n"/>
    </row>
    <row r="247" ht="13.8" customHeight="1" s="112">
      <c r="A247" s="220" t="n"/>
    </row>
    <row r="248" ht="13.8" customHeight="1" s="112">
      <c r="A248" s="220" t="n"/>
    </row>
    <row r="249" ht="13.8" customHeight="1" s="112">
      <c r="A249" s="220" t="n"/>
    </row>
    <row r="250" ht="13.8" customHeight="1" s="112">
      <c r="A250" s="220" t="n"/>
    </row>
    <row r="251" ht="13.8" customHeight="1" s="112">
      <c r="A251" s="220" t="n"/>
    </row>
    <row r="252" ht="13.8" customHeight="1" s="112">
      <c r="A252" s="220" t="n"/>
    </row>
    <row r="253" ht="13.8" customHeight="1" s="112">
      <c r="A253" s="220" t="n"/>
    </row>
    <row r="254" ht="13.8" customHeight="1" s="112">
      <c r="A254" s="220" t="n"/>
    </row>
    <row r="255" ht="13.8" customHeight="1" s="112">
      <c r="A255" s="220" t="n"/>
    </row>
    <row r="256" ht="13.8" customHeight="1" s="112">
      <c r="A256" s="220" t="n"/>
    </row>
    <row r="257" ht="13.8" customHeight="1" s="112">
      <c r="A257" s="220" t="n"/>
    </row>
    <row r="258" ht="13.8" customHeight="1" s="112">
      <c r="A258" s="220" t="n"/>
    </row>
    <row r="259" ht="13.8" customHeight="1" s="112">
      <c r="A259" s="220" t="n"/>
    </row>
    <row r="260" ht="13.8" customHeight="1" s="112">
      <c r="A260" s="220" t="n"/>
    </row>
    <row r="261" ht="13.8" customHeight="1" s="112">
      <c r="A261" s="220" t="n"/>
    </row>
    <row r="262" ht="13.8" customHeight="1" s="112">
      <c r="A262" s="220" t="n"/>
    </row>
    <row r="263" ht="13.8" customHeight="1" s="112">
      <c r="A263" s="220" t="n"/>
    </row>
    <row r="264" ht="13.8" customHeight="1" s="112">
      <c r="A264" s="220" t="n"/>
    </row>
    <row r="265" ht="13.8" customHeight="1" s="112">
      <c r="A265" s="220" t="n"/>
    </row>
    <row r="266" ht="13.8" customHeight="1" s="112">
      <c r="A266" s="220" t="n"/>
    </row>
    <row r="267" ht="13.8" customHeight="1" s="112">
      <c r="A267" s="220" t="n"/>
    </row>
    <row r="268" ht="13.8" customHeight="1" s="112">
      <c r="A268" s="220" t="n"/>
    </row>
    <row r="269" ht="13.8" customHeight="1" s="112">
      <c r="A269" s="220" t="n"/>
    </row>
    <row r="270" ht="13.8" customHeight="1" s="112">
      <c r="A270" s="220" t="n"/>
    </row>
    <row r="271" ht="13.8" customHeight="1" s="112">
      <c r="A271" s="220" t="n"/>
    </row>
    <row r="272" ht="13.8" customHeight="1" s="112">
      <c r="A272" s="220" t="n"/>
    </row>
    <row r="273" ht="13.8" customHeight="1" s="112">
      <c r="A273" s="220" t="n"/>
    </row>
    <row r="274" ht="13.8" customHeight="1" s="112">
      <c r="A274" s="220" t="n"/>
    </row>
    <row r="275" ht="13.8" customHeight="1" s="112">
      <c r="A275" s="220" t="n"/>
    </row>
    <row r="276" ht="13.8" customHeight="1" s="112">
      <c r="A276" s="220" t="n"/>
    </row>
    <row r="277" ht="13.8" customHeight="1" s="112">
      <c r="A277" s="220" t="n"/>
    </row>
    <row r="278" ht="13.8" customHeight="1" s="112">
      <c r="A278" s="220" t="n"/>
    </row>
    <row r="279" ht="13.8" customHeight="1" s="112">
      <c r="A279" s="220" t="n"/>
    </row>
    <row r="280" ht="13.8" customHeight="1" s="112">
      <c r="A280" s="220" t="n"/>
    </row>
    <row r="281" ht="13.8" customHeight="1" s="112">
      <c r="A281" s="220" t="n"/>
    </row>
    <row r="282" ht="13.8" customHeight="1" s="112">
      <c r="A282" s="220" t="n"/>
    </row>
    <row r="283" ht="13.8" customHeight="1" s="112">
      <c r="A283" s="220" t="n"/>
    </row>
    <row r="284" ht="13.8" customHeight="1" s="112">
      <c r="A284" s="220" t="n"/>
    </row>
    <row r="285" ht="13.8" customHeight="1" s="112">
      <c r="A285" s="220" t="n"/>
    </row>
    <row r="286" ht="13.8" customHeight="1" s="112">
      <c r="A286" s="220" t="n"/>
    </row>
    <row r="287" ht="13.8" customHeight="1" s="112">
      <c r="A287" s="220" t="n"/>
    </row>
    <row r="288" ht="13.8" customHeight="1" s="112">
      <c r="A288" s="220" t="n"/>
    </row>
    <row r="289" ht="13.8" customHeight="1" s="112">
      <c r="A289" s="220" t="n"/>
    </row>
    <row r="290" ht="13.8" customHeight="1" s="112">
      <c r="A290" s="220" t="n"/>
    </row>
    <row r="291" ht="13.8" customHeight="1" s="112">
      <c r="A291" s="220" t="n"/>
    </row>
    <row r="292" ht="13.8" customHeight="1" s="112">
      <c r="A292" s="220" t="n"/>
    </row>
    <row r="293" ht="13.8" customHeight="1" s="112">
      <c r="A293" s="220" t="n"/>
    </row>
    <row r="294" ht="13.8" customHeight="1" s="112">
      <c r="A294" s="220" t="n"/>
    </row>
    <row r="295" ht="13.8" customHeight="1" s="112">
      <c r="A295" s="220" t="n"/>
    </row>
    <row r="296" ht="13.8" customHeight="1" s="112">
      <c r="A296" s="220" t="n"/>
    </row>
    <row r="297" ht="13.8" customHeight="1" s="112">
      <c r="A297" s="220" t="n"/>
    </row>
    <row r="298" ht="13.8" customHeight="1" s="112">
      <c r="A298" s="220" t="n"/>
    </row>
    <row r="299" ht="13.8" customHeight="1" s="112">
      <c r="A299" s="220" t="n"/>
    </row>
    <row r="300" ht="13.8" customHeight="1" s="112">
      <c r="A300" s="220" t="n"/>
    </row>
    <row r="301" ht="13.8" customHeight="1" s="112">
      <c r="A301" s="220" t="n"/>
    </row>
    <row r="302" ht="13.8" customHeight="1" s="112">
      <c r="A302" s="220" t="n"/>
    </row>
    <row r="303" ht="13.8" customHeight="1" s="112">
      <c r="A303" s="220" t="n"/>
    </row>
    <row r="304" ht="13.8" customHeight="1" s="112">
      <c r="A304" s="220" t="n"/>
    </row>
    <row r="305" ht="13.8" customHeight="1" s="112">
      <c r="A305" s="220" t="n"/>
    </row>
    <row r="306" ht="13.8" customHeight="1" s="112">
      <c r="A306" s="220" t="n"/>
    </row>
    <row r="307" ht="13.8" customHeight="1" s="112">
      <c r="A307" s="220" t="n"/>
    </row>
    <row r="308" ht="13.8" customHeight="1" s="112">
      <c r="A308" s="220" t="n"/>
    </row>
    <row r="309" ht="13.8" customHeight="1" s="112">
      <c r="A309" s="220" t="n"/>
    </row>
    <row r="310" ht="13.8" customHeight="1" s="112">
      <c r="A310" s="220" t="n"/>
    </row>
    <row r="311" ht="13.8" customHeight="1" s="112">
      <c r="A311" s="220" t="n"/>
    </row>
    <row r="312" ht="13.8" customHeight="1" s="112">
      <c r="A312" s="220" t="n"/>
    </row>
    <row r="313" ht="13.8" customHeight="1" s="112">
      <c r="A313" s="220" t="n"/>
    </row>
    <row r="314" ht="13.8" customHeight="1" s="112">
      <c r="A314" s="220" t="n"/>
    </row>
    <row r="315" ht="13.8" customHeight="1" s="112">
      <c r="A315" s="220" t="n"/>
    </row>
    <row r="316" ht="13.8" customHeight="1" s="112">
      <c r="A316" s="220" t="n"/>
    </row>
    <row r="317" ht="13.8" customHeight="1" s="112">
      <c r="A317" s="220" t="n"/>
    </row>
    <row r="318" ht="13.8" customHeight="1" s="112">
      <c r="A318" s="220" t="n"/>
    </row>
  </sheetData>
  <printOptions horizontalCentered="0" verticalCentered="0" headings="0" gridLines="0" gridLinesSet="1"/>
  <pageMargins left="0.7" right="0.7" top="0.75" bottom="0.75" header="0.511811023622047" footer="0.511811023622047"/>
  <pageSetup orientation="landscape" paperSize="9" scale="6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XFD318"/>
  <sheetViews>
    <sheetView workbookViewId="0">
      <selection activeCell="A1" sqref="A1"/>
    </sheetView>
  </sheetViews>
  <sheetFormatPr baseColWidth="8" defaultColWidth="11.53515625" defaultRowHeight="13.8" customHeight="1" zeroHeight="0" outlineLevelRow="0"/>
  <cols>
    <col width="39.82" customWidth="1" style="152" min="1" max="1"/>
    <col width="15.54" customWidth="1" style="153" min="2" max="2"/>
    <col width="15.54" customWidth="1" style="110" min="3" max="11"/>
    <col width="15.54" customWidth="1" style="112" min="4" max="4"/>
    <col width="11.53" customWidth="1" style="154" min="16376" max="16384"/>
  </cols>
  <sheetData>
    <row r="1" ht="13.8" customHeight="1" s="112">
      <c r="A1" s="155" t="inlineStr">
        <is>
          <t>Financial Analysis Sdn Bhd</t>
        </is>
      </c>
      <c r="B1" s="154" t="n"/>
      <c r="C1" s="156" t="n"/>
      <c r="D1" s="156" t="n"/>
    </row>
    <row r="2" ht="13.8" customHeight="1" s="112">
      <c r="A2" s="157" t="inlineStr">
        <is>
          <t>3 companies</t>
        </is>
      </c>
      <c r="B2" s="154" t="n"/>
      <c r="C2" s="156" t="n"/>
      <c r="D2" s="156" t="n"/>
    </row>
    <row r="3" ht="13.8" customHeight="1" s="112">
      <c r="A3" s="157" t="inlineStr">
        <is>
          <t>2023</t>
        </is>
      </c>
      <c r="B3" s="154" t="n"/>
      <c r="C3" s="156" t="n"/>
      <c r="D3" s="156" t="n"/>
    </row>
    <row r="4" ht="13.8" customHeight="1" s="112">
      <c r="A4" s="154" t="n"/>
      <c r="B4" s="154" t="n"/>
      <c r="C4" s="156" t="n"/>
      <c r="D4" s="156" t="n"/>
    </row>
    <row r="5" ht="60.75" customHeight="1" s="112">
      <c r="A5" s="158" t="inlineStr">
        <is>
          <t>Account description</t>
        </is>
      </c>
      <c r="B5" s="159" t="inlineStr">
        <is>
          <t>Infastech (Malaysia) Sdn Bhd</t>
        </is>
      </c>
      <c r="C5" s="160" t="inlineStr">
        <is>
          <t>SYW INDUSTRY SDN BHD</t>
        </is>
      </c>
      <c r="D5" s="160" t="inlineStr">
        <is>
          <t>ALIGN FASTENERS MANUFACTURING SDN BHD</t>
        </is>
      </c>
      <c r="XEV5" s="161" t="n"/>
      <c r="XEW5" s="161" t="n"/>
      <c r="XEX5" s="161" t="n"/>
      <c r="XEY5" s="161" t="n"/>
      <c r="XEZ5" s="161" t="n"/>
      <c r="XFA5" s="161" t="n"/>
      <c r="XFB5" s="161" t="n"/>
      <c r="XFC5" s="161" t="n"/>
      <c r="XFD5" s="161" t="n"/>
    </row>
    <row r="6" ht="13.8" customHeight="1" s="112">
      <c r="A6" s="162" t="inlineStr">
        <is>
          <t>Year end date</t>
        </is>
      </c>
      <c r="B6" s="163" t="inlineStr">
        <is>
          <t>2023-12-31</t>
        </is>
      </c>
      <c r="C6" s="164" t="inlineStr">
        <is>
          <t>2023-12-31</t>
        </is>
      </c>
      <c r="D6" s="164" t="inlineStr">
        <is>
          <t>2023-08-31</t>
        </is>
      </c>
      <c r="XEV6" s="165" t="n"/>
      <c r="XEW6" s="165" t="n"/>
      <c r="XEX6" s="165" t="n"/>
      <c r="XEY6" s="165" t="n"/>
      <c r="XEZ6" s="165" t="n"/>
      <c r="XFA6" s="165" t="n"/>
      <c r="XFB6" s="165" t="n"/>
      <c r="XFC6" s="165" t="n"/>
      <c r="XFD6" s="165" t="n"/>
    </row>
    <row r="7" hidden="1" ht="13.8" customHeight="1" s="112">
      <c r="A7" s="162" t="n"/>
      <c r="XEV7" s="165" t="n"/>
      <c r="XEW7" s="165" t="n"/>
      <c r="XEX7" s="165" t="n"/>
      <c r="XEY7" s="165" t="n"/>
      <c r="XEZ7" s="165" t="n"/>
      <c r="XFA7" s="165" t="n"/>
      <c r="XFB7" s="165" t="n"/>
      <c r="XFC7" s="165" t="n"/>
      <c r="XFD7" s="165" t="n"/>
    </row>
    <row r="8" ht="13.8" customHeight="1" s="112">
      <c r="A8" s="162" t="n"/>
      <c r="B8" s="163" t="n"/>
      <c r="C8" s="164" t="n"/>
      <c r="D8" s="164" t="n"/>
      <c r="XEV8" s="165" t="n"/>
      <c r="XEW8" s="165" t="n"/>
      <c r="XEX8" s="165" t="n"/>
      <c r="XEY8" s="165" t="n"/>
      <c r="XEZ8" s="165" t="n"/>
      <c r="XFA8" s="165" t="n"/>
      <c r="XFB8" s="165" t="n"/>
      <c r="XFC8" s="165" t="n"/>
      <c r="XFD8" s="165" t="n"/>
    </row>
    <row r="9" ht="13.9" customHeight="1" s="112">
      <c r="A9" s="166" t="inlineStr">
        <is>
          <t>Income Statement</t>
        </is>
      </c>
    </row>
    <row r="10" ht="13.9" customHeight="1" s="112">
      <c r="A10" s="167" t="inlineStr">
        <is>
          <t>Net sales</t>
        </is>
      </c>
      <c r="B10" s="168" t="n">
        <v>85594182</v>
      </c>
      <c r="C10" s="169" t="n">
        <v>10526365</v>
      </c>
      <c r="D10" s="169" t="n">
        <v>5622944</v>
      </c>
      <c r="XEV10" s="165" t="n"/>
      <c r="XEW10" s="165" t="n"/>
      <c r="XEX10" s="165" t="n"/>
      <c r="XEY10" s="165" t="n"/>
      <c r="XEZ10" s="165" t="n"/>
      <c r="XFA10" s="165" t="n"/>
      <c r="XFB10" s="165" t="n"/>
      <c r="XFC10" s="165" t="n"/>
      <c r="XFD10" s="165" t="n"/>
    </row>
    <row r="11" ht="13.9" customHeight="1" s="112">
      <c r="A11" s="167" t="inlineStr">
        <is>
          <t>Cost of goods sold</t>
        </is>
      </c>
      <c r="B11" s="168" t="n">
        <v>50146138</v>
      </c>
      <c r="C11" s="169" t="n">
        <v>7432604</v>
      </c>
      <c r="D11" s="169" t="n">
        <v>4358162</v>
      </c>
      <c r="XEV11" s="165" t="n"/>
      <c r="XEW11" s="165" t="n"/>
      <c r="XEX11" s="165" t="n"/>
      <c r="XEY11" s="165" t="n"/>
      <c r="XEZ11" s="165" t="n"/>
      <c r="XFA11" s="165" t="n"/>
      <c r="XFB11" s="165" t="n"/>
      <c r="XFC11" s="165" t="n"/>
      <c r="XFD11" s="165" t="n"/>
    </row>
    <row r="12" ht="13.9" customHeight="1" s="112">
      <c r="A12" s="162" t="inlineStr">
        <is>
          <t>Gross profit</t>
        </is>
      </c>
      <c r="B12" s="170">
        <f>IF(B10="",0,IF(AND(B10&lt;&gt;"",B11=""),B10,B10-B11))</f>
        <v/>
      </c>
      <c r="C12" s="171">
        <f>IF(C10="",0,IF(AND(C10&lt;&gt;"",C11=""),C10,C10-C11))</f>
        <v/>
      </c>
      <c r="D12" s="171">
        <f>IF(D10="",0,IF(AND(D10&lt;&gt;"",D11=""),D10,D10-D11))</f>
        <v/>
      </c>
      <c r="XEV12" s="165" t="n"/>
      <c r="XEW12" s="165" t="n"/>
      <c r="XEX12" s="165" t="n"/>
      <c r="XEY12" s="165" t="n"/>
      <c r="XEZ12" s="165" t="n"/>
      <c r="XFA12" s="165" t="n"/>
      <c r="XFB12" s="165" t="n"/>
      <c r="XFC12" s="165" t="n"/>
      <c r="XFD12" s="165" t="n"/>
    </row>
    <row r="13" ht="13.9" customHeight="1" s="112">
      <c r="A13" s="162" t="inlineStr">
        <is>
          <t>Other operating expenses</t>
        </is>
      </c>
      <c r="B13" s="170">
        <f>SUM(B14:B18)</f>
        <v/>
      </c>
      <c r="C13" s="171">
        <f>SUM(C14:C18)</f>
        <v/>
      </c>
      <c r="D13" s="171">
        <f>SUM(D14:D18)</f>
        <v/>
      </c>
    </row>
    <row r="14" ht="13.9" customHeight="1" s="112">
      <c r="A14" s="172" t="inlineStr">
        <is>
          <t>SG&amp;A</t>
        </is>
      </c>
      <c r="B14" s="168" t="n">
        <v>15799527</v>
      </c>
      <c r="C14" s="169" t="n">
        <v>1409233</v>
      </c>
      <c r="D14" s="169" t="n">
        <v>777202</v>
      </c>
    </row>
    <row r="15" ht="13.9" customHeight="1" s="112">
      <c r="A15" s="172" t="inlineStr">
        <is>
          <t>Depreciation and amortization</t>
        </is>
      </c>
      <c r="B15" s="168" t="n">
        <v>5606582</v>
      </c>
      <c r="C15" s="169" t="n">
        <v>287118</v>
      </c>
      <c r="D15" s="169" t="n">
        <v>249937</v>
      </c>
      <c r="XEV15" s="165" t="n"/>
      <c r="XEW15" s="165" t="n"/>
      <c r="XEX15" s="165" t="n"/>
      <c r="XEY15" s="165" t="n"/>
      <c r="XEZ15" s="165" t="n"/>
      <c r="XFA15" s="165" t="n"/>
      <c r="XFB15" s="165" t="n"/>
      <c r="XFC15" s="165" t="n"/>
      <c r="XFD15" s="165" t="n"/>
    </row>
    <row r="16" ht="13.9" customHeight="1" s="112">
      <c r="A16" s="172" t="inlineStr">
        <is>
          <t>Foreign exchange loss</t>
        </is>
      </c>
      <c r="B16" s="168" t="n">
        <v>59098</v>
      </c>
      <c r="C16" s="169" t="n">
        <v>0</v>
      </c>
      <c r="D16" s="169" t="n">
        <v>2482</v>
      </c>
      <c r="XEV16" s="165" t="n"/>
      <c r="XEW16" s="165" t="n"/>
      <c r="XEX16" s="165" t="n"/>
      <c r="XEY16" s="165" t="n"/>
      <c r="XEZ16" s="165" t="n"/>
      <c r="XFA16" s="165" t="n"/>
      <c r="XFB16" s="165" t="n"/>
      <c r="XFC16" s="165" t="n"/>
      <c r="XFD16" s="165" t="n"/>
    </row>
    <row r="17" ht="13.9" customHeight="1" s="112">
      <c r="A17" s="172" t="inlineStr">
        <is>
          <t>Loss on disposal of PPE</t>
        </is>
      </c>
      <c r="B17" s="168" t="n">
        <v>0</v>
      </c>
      <c r="C17" s="169" t="n">
        <v>0</v>
      </c>
      <c r="D17" s="169" t="n">
        <v>0</v>
      </c>
      <c r="XEV17" s="165" t="n"/>
      <c r="XEW17" s="165" t="n"/>
      <c r="XEX17" s="165" t="n"/>
      <c r="XEY17" s="165" t="n"/>
      <c r="XEZ17" s="165" t="n"/>
      <c r="XFA17" s="165" t="n"/>
      <c r="XFB17" s="165" t="n"/>
      <c r="XFC17" s="165" t="n"/>
      <c r="XFD17" s="165" t="n"/>
    </row>
    <row r="18" ht="13.9" customHeight="1" s="112">
      <c r="A18" s="172" t="inlineStr">
        <is>
          <t>Others</t>
        </is>
      </c>
      <c r="B18" s="168" t="n">
        <v>164456</v>
      </c>
      <c r="C18" s="169" t="n">
        <v>23823</v>
      </c>
      <c r="D18" s="169" t="n">
        <v>0</v>
      </c>
      <c r="XEV18" s="165" t="n"/>
      <c r="XEW18" s="165" t="n"/>
      <c r="XEX18" s="165" t="n"/>
      <c r="XEY18" s="165" t="n"/>
      <c r="XEZ18" s="165" t="n"/>
      <c r="XFA18" s="165" t="n"/>
      <c r="XFB18" s="165" t="n"/>
      <c r="XFC18" s="165" t="n"/>
      <c r="XFD18" s="165" t="n"/>
    </row>
    <row r="19" ht="13.9" customHeight="1" s="112">
      <c r="A19" s="162" t="inlineStr">
        <is>
          <t>Other operating income</t>
        </is>
      </c>
      <c r="B19" s="170">
        <f>SUM(B20:B22)</f>
        <v/>
      </c>
      <c r="C19" s="171">
        <f>SUM(C20:C22)</f>
        <v/>
      </c>
      <c r="D19" s="171">
        <f>SUM(D20:D22)</f>
        <v/>
      </c>
    </row>
    <row r="20" ht="13.9" customHeight="1" s="112">
      <c r="A20" s="172" t="inlineStr">
        <is>
          <t>Foreign exchange gain</t>
        </is>
      </c>
      <c r="B20" s="168" t="n">
        <v>159493</v>
      </c>
      <c r="C20" s="169" t="n">
        <v>9173</v>
      </c>
      <c r="D20" s="169" t="n">
        <v>0</v>
      </c>
      <c r="XEV20" s="165" t="n"/>
      <c r="XEW20" s="165" t="n"/>
      <c r="XEX20" s="165" t="n"/>
      <c r="XEY20" s="165" t="n"/>
      <c r="XEZ20" s="165" t="n"/>
      <c r="XFA20" s="165" t="n"/>
      <c r="XFB20" s="165" t="n"/>
      <c r="XFC20" s="165" t="n"/>
      <c r="XFD20" s="165" t="n"/>
    </row>
    <row r="21" ht="13.9" customHeight="1" s="112">
      <c r="A21" s="172" t="inlineStr">
        <is>
          <t>Gain on disposal of PPE</t>
        </is>
      </c>
      <c r="B21" s="168" t="n">
        <v>0</v>
      </c>
      <c r="C21" s="169" t="n">
        <v>0</v>
      </c>
      <c r="D21" s="169" t="n">
        <v>27720</v>
      </c>
      <c r="XEV21" s="165" t="n"/>
      <c r="XEW21" s="165" t="n"/>
      <c r="XEX21" s="165" t="n"/>
      <c r="XEY21" s="165" t="n"/>
      <c r="XEZ21" s="165" t="n"/>
      <c r="XFA21" s="165" t="n"/>
      <c r="XFB21" s="165" t="n"/>
      <c r="XFC21" s="165" t="n"/>
      <c r="XFD21" s="165" t="n"/>
    </row>
    <row r="22" ht="13.9" customHeight="1" s="112">
      <c r="A22" s="172" t="inlineStr">
        <is>
          <t>Others</t>
        </is>
      </c>
      <c r="B22" s="168" t="n">
        <v>205723</v>
      </c>
      <c r="C22" s="169" t="n">
        <v>244343</v>
      </c>
      <c r="D22" s="169" t="n">
        <v>0</v>
      </c>
      <c r="XEV22" s="165" t="n"/>
      <c r="XEW22" s="165" t="n"/>
      <c r="XEX22" s="165" t="n"/>
      <c r="XEY22" s="165" t="n"/>
      <c r="XEZ22" s="165" t="n"/>
      <c r="XFA22" s="165" t="n"/>
      <c r="XFB22" s="165" t="n"/>
      <c r="XFC22" s="165" t="n"/>
      <c r="XFD22" s="165" t="n"/>
    </row>
    <row r="23" ht="13.9" customHeight="1" s="112">
      <c r="A23" s="162" t="inlineStr">
        <is>
          <t>Operating profit</t>
        </is>
      </c>
      <c r="B23" s="170">
        <f>B12-(B13-B19)</f>
        <v/>
      </c>
      <c r="C23" s="171">
        <f>C12-(C13-C19)</f>
        <v/>
      </c>
      <c r="D23" s="171">
        <f>D12-(D13-D19)</f>
        <v/>
      </c>
      <c r="XEV23" s="165" t="n"/>
      <c r="XEW23" s="165" t="n"/>
      <c r="XEX23" s="165" t="n"/>
      <c r="XEY23" s="165" t="n"/>
      <c r="XEZ23" s="165" t="n"/>
      <c r="XFA23" s="165" t="n"/>
      <c r="XFB23" s="165" t="n"/>
      <c r="XFC23" s="165" t="n"/>
      <c r="XFD23" s="165" t="n"/>
    </row>
    <row r="24" ht="13.9" customHeight="1" s="112">
      <c r="A24" s="162" t="inlineStr">
        <is>
          <t>Non-operating expenses</t>
        </is>
      </c>
      <c r="B24" s="170">
        <f>SUM(B25:B28)</f>
        <v/>
      </c>
      <c r="C24" s="171">
        <f>SUM(C25:C28)</f>
        <v/>
      </c>
      <c r="D24" s="171">
        <f>SUM(D25:D28)</f>
        <v/>
      </c>
    </row>
    <row r="25" ht="13.9" customHeight="1" s="112">
      <c r="A25" s="172" t="inlineStr">
        <is>
          <t>Foreign exchange loss</t>
        </is>
      </c>
      <c r="B25" s="168" t="n">
        <v>0</v>
      </c>
      <c r="C25" s="169" t="n">
        <v>0</v>
      </c>
      <c r="D25" s="169" t="n"/>
    </row>
    <row r="26" ht="13.9" customHeight="1" s="112">
      <c r="A26" s="172" t="inlineStr">
        <is>
          <t>Loss on disposal of PPE</t>
        </is>
      </c>
      <c r="B26" s="168" t="n">
        <v>0</v>
      </c>
      <c r="C26" s="169" t="n">
        <v>0</v>
      </c>
      <c r="D26" s="169" t="n"/>
    </row>
    <row r="27" ht="13.9" customHeight="1" s="112">
      <c r="A27" s="172" t="inlineStr">
        <is>
          <t>Interest cost</t>
        </is>
      </c>
      <c r="B27" s="168" t="n">
        <v>37210</v>
      </c>
      <c r="C27" s="169" t="n">
        <v>95132</v>
      </c>
      <c r="D27" s="169" t="n">
        <v>142197</v>
      </c>
    </row>
    <row r="28" ht="13.9" customHeight="1" s="112">
      <c r="A28" s="172" t="inlineStr">
        <is>
          <t>Others</t>
        </is>
      </c>
      <c r="B28" s="168" t="n">
        <v>0</v>
      </c>
      <c r="C28" s="169" t="n">
        <v>0</v>
      </c>
      <c r="D28" s="169" t="n">
        <v>0</v>
      </c>
    </row>
    <row r="29" ht="13.9" customHeight="1" s="112">
      <c r="A29" s="162" t="inlineStr">
        <is>
          <t>Non-operating income</t>
        </is>
      </c>
      <c r="B29" s="170">
        <f>SUM(B30:B33)</f>
        <v/>
      </c>
      <c r="C29" s="171">
        <f>SUM(C30:C33)</f>
        <v/>
      </c>
      <c r="D29" s="171">
        <f>SUM(D30:D33)</f>
        <v/>
      </c>
    </row>
    <row r="30" ht="13.9" customHeight="1" s="112">
      <c r="A30" s="172" t="inlineStr">
        <is>
          <t>Foreign exchange gain</t>
        </is>
      </c>
      <c r="B30" s="168" t="n">
        <v>0</v>
      </c>
      <c r="C30" s="169" t="n">
        <v>0</v>
      </c>
      <c r="D30" s="169" t="n"/>
    </row>
    <row r="31" ht="13.9" customHeight="1" s="112">
      <c r="A31" s="172" t="inlineStr">
        <is>
          <t>Gain on disposal of PPE</t>
        </is>
      </c>
      <c r="B31" s="168" t="n">
        <v>0</v>
      </c>
      <c r="C31" s="169" t="n">
        <v>0</v>
      </c>
      <c r="D31" s="169" t="n"/>
    </row>
    <row r="32" ht="13.9" customHeight="1" s="112">
      <c r="A32" s="172" t="inlineStr">
        <is>
          <t>Interest income</t>
        </is>
      </c>
      <c r="B32" s="168" t="n">
        <v>6513664</v>
      </c>
      <c r="C32" s="169" t="n">
        <v>58044</v>
      </c>
      <c r="D32" s="169" t="n">
        <v>2859</v>
      </c>
    </row>
    <row r="33" ht="13.9" customHeight="1" s="112">
      <c r="A33" s="172" t="inlineStr">
        <is>
          <t>Others</t>
        </is>
      </c>
      <c r="B33" s="168" t="n">
        <v>0</v>
      </c>
      <c r="C33" s="169" t="n">
        <v>0</v>
      </c>
      <c r="D33" s="169" t="n">
        <v>0</v>
      </c>
    </row>
    <row r="34" ht="13.9" customHeight="1" s="112">
      <c r="A34" s="162" t="inlineStr">
        <is>
          <t>Profit before tax</t>
        </is>
      </c>
      <c r="B34" s="173">
        <f>B23-(B24-B29)</f>
        <v/>
      </c>
      <c r="C34" s="174">
        <f>C23-(C24-C29)</f>
        <v/>
      </c>
      <c r="D34" s="174">
        <f>D23-(D24-D29)</f>
        <v/>
      </c>
    </row>
    <row r="35" ht="13.8" customHeight="1" s="112">
      <c r="A35" s="162" t="n"/>
    </row>
    <row r="36" hidden="1" ht="13.8" customHeight="1" s="112">
      <c r="A36" s="166" t="inlineStr">
        <is>
          <t>Balance Sheet</t>
        </is>
      </c>
    </row>
    <row r="37" hidden="1" ht="13.8" customHeight="1" s="112">
      <c r="A37" s="175" t="inlineStr">
        <is>
          <t>Assets</t>
        </is>
      </c>
    </row>
    <row r="38" hidden="1" ht="13.8" customHeight="1" s="112">
      <c r="A38" s="162" t="inlineStr">
        <is>
          <t>Current assets</t>
        </is>
      </c>
      <c r="B38" s="176" t="n">
        <v>190573638</v>
      </c>
      <c r="C38" s="177" t="n">
        <v>4834442</v>
      </c>
      <c r="D38" s="177" t="n">
        <v>3859623</v>
      </c>
    </row>
    <row r="39" hidden="1" ht="13.8" customHeight="1" s="112">
      <c r="A39" s="178" t="inlineStr">
        <is>
          <t>Cash and bank balance</t>
        </is>
      </c>
      <c r="B39" s="176" t="n">
        <v>14605109</v>
      </c>
      <c r="C39" s="177" t="n">
        <v>1869330</v>
      </c>
      <c r="D39" s="177" t="n">
        <v>365103</v>
      </c>
    </row>
    <row r="40" hidden="1" ht="13.8" customHeight="1" s="112">
      <c r="A40" s="178" t="inlineStr">
        <is>
          <t>Accounts receivable</t>
        </is>
      </c>
      <c r="B40" s="176" t="n">
        <v>24044637</v>
      </c>
      <c r="C40" s="177" t="n">
        <v>1492740</v>
      </c>
      <c r="D40" s="177" t="n">
        <v>1134825</v>
      </c>
    </row>
    <row r="41" hidden="1" ht="13.8" customHeight="1" s="112">
      <c r="A41" s="178" t="inlineStr">
        <is>
          <t>Inventory</t>
        </is>
      </c>
      <c r="B41" s="176" t="n">
        <v>15729182</v>
      </c>
      <c r="C41" s="177" t="n">
        <v>1428514</v>
      </c>
      <c r="D41" s="177" t="n">
        <v>2070556</v>
      </c>
    </row>
    <row r="42" hidden="1" ht="13.8" customHeight="1" s="112">
      <c r="A42" s="178" t="inlineStr">
        <is>
          <t>Others (short term)</t>
        </is>
      </c>
      <c r="B42" s="176" t="n">
        <v>136194710</v>
      </c>
      <c r="C42" s="177" t="n">
        <v>43858</v>
      </c>
      <c r="D42" s="177" t="n">
        <v>289139</v>
      </c>
    </row>
    <row r="43" hidden="1" ht="13.8" customHeight="1" s="112">
      <c r="A43" s="162" t="inlineStr">
        <is>
          <t>Fixed assets</t>
        </is>
      </c>
      <c r="B43" s="176" t="n"/>
      <c r="C43" s="177" t="n"/>
      <c r="D43" s="177" t="n"/>
    </row>
    <row r="44" hidden="1" ht="13.8" customHeight="1" s="112">
      <c r="A44" s="178" t="inlineStr">
        <is>
          <t>PPE (net of depreciation)</t>
        </is>
      </c>
      <c r="B44" s="176" t="n">
        <v>30691173</v>
      </c>
      <c r="C44" s="177" t="n">
        <v>9526474</v>
      </c>
      <c r="D44" s="177" t="n">
        <v>2931755</v>
      </c>
    </row>
    <row r="45" hidden="1" ht="13.8" customHeight="1" s="112">
      <c r="A45" s="178" t="inlineStr">
        <is>
          <t>Intangibles (net of amortization)</t>
        </is>
      </c>
      <c r="B45" s="176" t="n">
        <v>255960115</v>
      </c>
      <c r="C45" s="177" t="n">
        <v>0</v>
      </c>
      <c r="D45" s="177" t="n">
        <v>0</v>
      </c>
    </row>
    <row r="46" hidden="1" ht="13.8" customHeight="1" s="112">
      <c r="A46" s="178" t="inlineStr">
        <is>
          <t>Investments</t>
        </is>
      </c>
      <c r="B46" s="176" t="n">
        <v>0</v>
      </c>
      <c r="C46" s="177" t="n">
        <v>0</v>
      </c>
      <c r="D46" s="177" t="n">
        <v>0</v>
      </c>
    </row>
    <row r="47" hidden="1" ht="13.8" customHeight="1" s="112">
      <c r="A47" s="178" t="inlineStr">
        <is>
          <t>Others</t>
        </is>
      </c>
      <c r="B47" s="176" t="n">
        <v>0</v>
      </c>
      <c r="C47" s="177" t="n">
        <v>0</v>
      </c>
      <c r="D47" s="177" t="n"/>
    </row>
    <row r="48" hidden="1" ht="13.8" customHeight="1" s="112">
      <c r="A48" s="162" t="inlineStr">
        <is>
          <t>Other assets</t>
        </is>
      </c>
      <c r="B48" s="176" t="n">
        <v>0</v>
      </c>
      <c r="C48" s="177" t="n">
        <v>0</v>
      </c>
      <c r="D48" s="177" t="n"/>
    </row>
    <row r="49" hidden="1" ht="13.8" customHeight="1" s="112">
      <c r="A49" s="162" t="inlineStr">
        <is>
          <t>Total assets</t>
        </is>
      </c>
      <c r="B49" s="176" t="n"/>
      <c r="C49" s="177" t="n"/>
      <c r="D49" s="177" t="n"/>
    </row>
    <row r="50" hidden="1" ht="13.8" customHeight="1" s="112">
      <c r="A50" s="175" t="inlineStr">
        <is>
          <t>Liabilities</t>
        </is>
      </c>
    </row>
    <row r="51" hidden="1" ht="13.8" customHeight="1" s="112">
      <c r="A51" s="162" t="inlineStr">
        <is>
          <t>Current liabilities</t>
        </is>
      </c>
      <c r="B51" s="176" t="n">
        <v>13651330</v>
      </c>
      <c r="C51" s="177" t="n">
        <v>2134287</v>
      </c>
      <c r="D51" s="177" t="n">
        <v>2486044</v>
      </c>
    </row>
    <row r="52" hidden="1" ht="13.8" customHeight="1" s="112">
      <c r="A52" s="178" t="inlineStr">
        <is>
          <t>Accounts payable</t>
        </is>
      </c>
      <c r="B52" s="176" t="n">
        <v>6627479</v>
      </c>
      <c r="C52" s="177" t="n">
        <v>1755295</v>
      </c>
      <c r="D52" s="177" t="n">
        <v>1343916</v>
      </c>
    </row>
    <row r="53" hidden="1" ht="13.8" customHeight="1" s="112">
      <c r="A53" s="178" t="inlineStr">
        <is>
          <t>Others (short term)</t>
        </is>
      </c>
      <c r="B53" s="176" t="n">
        <v>7023851</v>
      </c>
      <c r="C53" s="177" t="n">
        <v>378992</v>
      </c>
      <c r="D53" s="177" t="n">
        <v>1142128</v>
      </c>
    </row>
    <row r="54" hidden="1" ht="13.8" customHeight="1" s="112">
      <c r="A54" s="162" t="inlineStr">
        <is>
          <t>Long term liabilities</t>
        </is>
      </c>
      <c r="B54" s="176" t="n"/>
      <c r="C54" s="177" t="n"/>
      <c r="D54" s="177" t="n"/>
    </row>
    <row r="55" hidden="1" ht="13.8" customHeight="1" s="112">
      <c r="A55" s="178" t="inlineStr">
        <is>
          <t>Long term debt</t>
        </is>
      </c>
      <c r="B55" s="176" t="n">
        <v>556097</v>
      </c>
      <c r="C55" s="177" t="n">
        <v>1724898</v>
      </c>
      <c r="D55" s="177" t="n">
        <v>2280370</v>
      </c>
    </row>
    <row r="56" hidden="1" ht="13.8" customHeight="1" s="112">
      <c r="A56" s="178" t="inlineStr">
        <is>
          <t>Others (long term)</t>
        </is>
      </c>
      <c r="B56" s="176" t="n">
        <v>2618495</v>
      </c>
      <c r="C56" s="177" t="n">
        <v>6796</v>
      </c>
      <c r="D56" s="177" t="n">
        <v>27050</v>
      </c>
    </row>
    <row r="57" hidden="1" ht="13.8" customHeight="1" s="112">
      <c r="A57" s="162" t="inlineStr">
        <is>
          <t>Shareholders' equity</t>
        </is>
      </c>
      <c r="B57" s="176" t="n">
        <v>460399004</v>
      </c>
      <c r="C57" s="177" t="n">
        <v>10494935</v>
      </c>
      <c r="D57" s="177" t="n">
        <v>1997914</v>
      </c>
    </row>
    <row r="58" hidden="1" ht="13.8" customHeight="1" s="112">
      <c r="A58" s="178" t="inlineStr">
        <is>
          <t>Issued share capital</t>
        </is>
      </c>
      <c r="B58" s="176" t="n">
        <v>125341087</v>
      </c>
      <c r="C58" s="177" t="n">
        <v>1000000</v>
      </c>
      <c r="D58" s="177" t="n">
        <v>500000</v>
      </c>
    </row>
    <row r="59" hidden="1" ht="13.8" customHeight="1" s="112">
      <c r="A59" s="178" t="inlineStr">
        <is>
          <t>Reserves and surplus</t>
        </is>
      </c>
      <c r="B59" s="176" t="n">
        <v>335057917</v>
      </c>
      <c r="C59" s="177" t="n">
        <v>9494935</v>
      </c>
      <c r="D59" s="177" t="n">
        <v>1497914</v>
      </c>
    </row>
    <row r="60" hidden="1" ht="13.8" customHeight="1" s="112">
      <c r="A60" s="162" t="inlineStr">
        <is>
          <t>Total liabilities and shareholders' equity</t>
        </is>
      </c>
      <c r="B60" s="176" t="n"/>
      <c r="C60" s="177" t="n"/>
      <c r="D60" s="177" t="n"/>
    </row>
    <row r="61" hidden="1" ht="13.8" customHeight="1" s="112">
      <c r="A61" s="162" t="n"/>
    </row>
    <row r="62" hidden="1" ht="13.8" customHeight="1" s="112">
      <c r="A62" s="166" t="inlineStr">
        <is>
          <t>Average Balance Sheet</t>
        </is>
      </c>
    </row>
    <row r="63" hidden="1" ht="13.8" customHeight="1" s="112">
      <c r="A63" s="175" t="inlineStr">
        <is>
          <t>Assets</t>
        </is>
      </c>
    </row>
    <row r="64" hidden="1" ht="13.8" customHeight="1" s="112">
      <c r="A64" s="178" t="inlineStr">
        <is>
          <t>Accounts receivable</t>
        </is>
      </c>
      <c r="B64" s="176" t="n"/>
      <c r="C64" s="177" t="n"/>
      <c r="D64" s="177" t="n"/>
    </row>
    <row r="65" hidden="1" ht="13.8" customHeight="1" s="112">
      <c r="A65" s="178" t="inlineStr">
        <is>
          <t>Inventory</t>
        </is>
      </c>
      <c r="B65" s="176" t="n"/>
      <c r="C65" s="177" t="n"/>
      <c r="D65" s="177" t="n"/>
    </row>
    <row r="66" hidden="1" ht="13.8" customHeight="1" s="112">
      <c r="A66" s="178" t="inlineStr">
        <is>
          <t>Investments</t>
        </is>
      </c>
      <c r="B66" s="176" t="n"/>
      <c r="C66" s="177" t="n"/>
      <c r="D66" s="177" t="n"/>
    </row>
    <row r="67" hidden="1" ht="13.8" customHeight="1" s="112">
      <c r="A67" s="178" t="inlineStr">
        <is>
          <t>Total assets</t>
        </is>
      </c>
      <c r="B67" s="176" t="n"/>
      <c r="C67" s="177" t="n"/>
      <c r="D67" s="177" t="n"/>
    </row>
    <row r="68" hidden="1" ht="13.8" customHeight="1" s="112">
      <c r="A68" s="175" t="inlineStr">
        <is>
          <t>Liabilities</t>
        </is>
      </c>
    </row>
    <row r="69" hidden="1" ht="13.8" customHeight="1" s="112">
      <c r="A69" s="178" t="inlineStr">
        <is>
          <t>Accounts payable</t>
        </is>
      </c>
      <c r="B69" s="176" t="n"/>
      <c r="C69" s="177" t="n"/>
      <c r="D69" s="177" t="n"/>
    </row>
    <row r="70" hidden="1" ht="13.8" customHeight="1" s="112">
      <c r="A70" s="178" t="n"/>
    </row>
    <row r="71" ht="13.8" customHeight="1" s="112">
      <c r="A71" s="166" t="inlineStr">
        <is>
          <t>Profit level indicators</t>
        </is>
      </c>
      <c r="B71" s="179" t="n"/>
      <c r="C71" s="171" t="n"/>
      <c r="D71" s="171" t="n"/>
    </row>
    <row r="72" hidden="1" ht="13.8" customHeight="1" s="112">
      <c r="A72" s="175" t="inlineStr">
        <is>
          <t>Operating profit margin</t>
        </is>
      </c>
    </row>
    <row r="73" hidden="1" ht="13.8" customHeight="1" s="112">
      <c r="A73" s="178" t="inlineStr">
        <is>
          <t>OPM - unadjusted</t>
        </is>
      </c>
      <c r="B73" s="180">
        <f>IF(ISERROR(B23/B10),"",B23/B10)</f>
        <v/>
      </c>
      <c r="C73" s="181">
        <f>IF(ISERROR(C23/C10),"",C23/C10)</f>
        <v/>
      </c>
      <c r="D73" s="181">
        <f>IF(ISERROR(D23/D10),"",D23/D10)</f>
        <v/>
      </c>
    </row>
    <row r="74" hidden="1" ht="13.8" customHeight="1" s="112">
      <c r="A74" s="178" t="inlineStr">
        <is>
          <t>OPM - capital adjusted to zero</t>
        </is>
      </c>
      <c r="B74" s="180">
        <f>IF(ISERROR(B132/B120),"",B132/B120)</f>
        <v/>
      </c>
      <c r="C74" s="181">
        <f>IF(ISERROR(C132/C120),"",C132/C120)</f>
        <v/>
      </c>
      <c r="D74" s="181">
        <f>IF(ISERROR(D132/D120),"",D132/D120)</f>
        <v/>
      </c>
    </row>
    <row r="75" hidden="1" ht="13.8" customHeight="1" s="112">
      <c r="A75" s="178" t="inlineStr">
        <is>
          <t>OPM - capital adjusted to tested party</t>
        </is>
      </c>
      <c r="B75" s="180">
        <f>IF(ISERROR(B133/B121),"",B133/B121)</f>
        <v/>
      </c>
      <c r="C75" s="181">
        <f>IF(ISERROR(C133/C121),"",C133/C121)</f>
        <v/>
      </c>
      <c r="D75" s="181">
        <f>IF(ISERROR(D133/D121),"",D133/D121)</f>
        <v/>
      </c>
    </row>
    <row r="76" hidden="1" ht="13.8" customHeight="1" s="112">
      <c r="A76" s="162" t="n"/>
    </row>
    <row r="77" hidden="1" ht="13.8" customHeight="1" s="112">
      <c r="A77" s="175" t="inlineStr">
        <is>
          <t>Gross margin (net sales)</t>
        </is>
      </c>
    </row>
    <row r="78" hidden="1" ht="13.8" customHeight="1" s="112">
      <c r="A78" s="178" t="inlineStr">
        <is>
          <t>GM - unadjusted</t>
        </is>
      </c>
      <c r="B78" s="182">
        <f>IF(ISERROR(B12/B10),"",B12/B10)</f>
        <v/>
      </c>
      <c r="C78" s="181">
        <f>IF(ISERROR(C12/C10),"",C12/C10)</f>
        <v/>
      </c>
      <c r="D78" s="181">
        <f>IF(ISERROR(D12/D10),"",D12/D10)</f>
        <v/>
      </c>
    </row>
    <row r="79" hidden="1" ht="13.8" customHeight="1" s="112">
      <c r="A79" s="178" t="inlineStr">
        <is>
          <t>GM - capital adjusted to zero</t>
        </is>
      </c>
      <c r="B79" s="182">
        <f>IF(ISERROR(B128/B120),"",B128/B120)</f>
        <v/>
      </c>
      <c r="C79" s="181">
        <f>IF(ISERROR(C128/C120),"",C128/C120)</f>
        <v/>
      </c>
      <c r="D79" s="181">
        <f>IF(ISERROR(D128/D120),"",D128/D120)</f>
        <v/>
      </c>
    </row>
    <row r="80" hidden="1" ht="13.8" customHeight="1" s="112">
      <c r="A80" s="178" t="inlineStr">
        <is>
          <t>GM - capital adjusted to tested party</t>
        </is>
      </c>
      <c r="B80" s="182">
        <f>IF(ISERROR(B129/B121),"",B129/B121)</f>
        <v/>
      </c>
      <c r="C80" s="181">
        <f>IF(ISERROR(C129/C121),"",C129/C121)</f>
        <v/>
      </c>
      <c r="D80" s="181">
        <f>IF(ISERROR(D129/D121),"",D129/D121)</f>
        <v/>
      </c>
    </row>
    <row r="81" hidden="1" ht="13.8" customHeight="1" s="112">
      <c r="A81" s="162" t="n"/>
    </row>
    <row r="82" hidden="1" ht="13.8" customHeight="1" s="112">
      <c r="A82" s="175" t="inlineStr">
        <is>
          <t>Gross margin (cost of goods sold)</t>
        </is>
      </c>
    </row>
    <row r="83" hidden="1" ht="13.8" customHeight="1" s="112">
      <c r="A83" s="178" t="inlineStr">
        <is>
          <t>GM - unadjusted</t>
        </is>
      </c>
      <c r="B83" s="182">
        <f>IF(ISERROR(B12/B11),"",B12/B11)</f>
        <v/>
      </c>
      <c r="C83" s="181">
        <f>IF(ISERROR(C12/C11),"",C12/C11)</f>
        <v/>
      </c>
      <c r="D83" s="181">
        <f>IF(ISERROR(D12/D11),"",D12/D11)</f>
        <v/>
      </c>
    </row>
    <row r="84" hidden="1" ht="13.8" customHeight="1" s="112">
      <c r="A84" s="178" t="inlineStr">
        <is>
          <t>GM - capital adjusted to zero</t>
        </is>
      </c>
      <c r="B84" s="182">
        <f>IF(ISERROR(B128/B124),"",B128/B124)</f>
        <v/>
      </c>
      <c r="C84" s="181">
        <f>IF(ISERROR(C128/C124),"",C128/C124)</f>
        <v/>
      </c>
      <c r="D84" s="181">
        <f>IF(ISERROR(D128/D124),"",D128/D124)</f>
        <v/>
      </c>
    </row>
    <row r="85" hidden="1" ht="13.8" customHeight="1" s="112">
      <c r="A85" s="178" t="inlineStr">
        <is>
          <t>GM - capital adjusted to tested party</t>
        </is>
      </c>
      <c r="B85" s="182">
        <f>IF(ISERROR(B129/B125),"",B129/B125)</f>
        <v/>
      </c>
      <c r="C85" s="181">
        <f>IF(ISERROR(C129/C125),"",C129/C125)</f>
        <v/>
      </c>
      <c r="D85" s="181">
        <f>IF(ISERROR(D129/D125),"",D129/D125)</f>
        <v/>
      </c>
    </row>
    <row r="86" hidden="1" ht="13.8" customHeight="1" s="112">
      <c r="A86" s="162" t="n"/>
    </row>
    <row r="87" ht="13.8" customHeight="1" s="112">
      <c r="A87" s="175" t="inlineStr">
        <is>
          <t>Mark-up on total cost</t>
        </is>
      </c>
    </row>
    <row r="88" ht="13.8" customHeight="1" s="112">
      <c r="A88" s="183" t="inlineStr">
        <is>
          <t>MOTC - unadjusted</t>
        </is>
      </c>
      <c r="B88" s="184">
        <f>IF(ISERROR(B23/B107),"",B23/B107)</f>
        <v/>
      </c>
      <c r="C88" s="185">
        <f>IF(ISERROR(C23/C107),"",C23/C107)</f>
        <v/>
      </c>
      <c r="D88" s="185">
        <f>IF(ISERROR(D23/D107),"",D23/D107)</f>
        <v/>
      </c>
    </row>
    <row r="89" hidden="1" ht="13.8" customHeight="1" s="112">
      <c r="A89" s="178" t="inlineStr">
        <is>
          <t>NCP - capital adjusted to zero</t>
        </is>
      </c>
      <c r="B89" s="182">
        <f>IF(ISERROR(B132/B136),"",B132/B136)</f>
        <v/>
      </c>
      <c r="C89" s="181">
        <f>IF(ISERROR(C132/C136),"",C132/C136)</f>
        <v/>
      </c>
      <c r="D89" s="181">
        <f>IF(ISERROR(D132/D136),"",D132/D136)</f>
        <v/>
      </c>
    </row>
    <row r="90" hidden="1" ht="13.8" customHeight="1" s="112">
      <c r="A90" s="178" t="inlineStr">
        <is>
          <t>NCP - capital adjusted to tested party</t>
        </is>
      </c>
      <c r="B90" s="182">
        <f>IF(ISERROR(B133/B137),"",B133/B137)</f>
        <v/>
      </c>
      <c r="C90" s="181">
        <f>IF(ISERROR(C133/C137),"",C133/C137)</f>
        <v/>
      </c>
      <c r="D90" s="181">
        <f>IF(ISERROR(D133/D137),"",D133/D137)</f>
        <v/>
      </c>
    </row>
    <row r="91" hidden="1" ht="13.8" customHeight="1" s="112">
      <c r="A91" s="178" t="n"/>
    </row>
    <row r="92" hidden="1" ht="13.8" customHeight="1" s="112">
      <c r="A92" s="175" t="inlineStr">
        <is>
          <t>Berry ratio</t>
        </is>
      </c>
    </row>
    <row r="93" hidden="1" ht="13.8" customHeight="1" s="112">
      <c r="A93" s="178" t="inlineStr">
        <is>
          <t>BR - unadjusted</t>
        </is>
      </c>
      <c r="B93" s="186">
        <f>IF(ISERROR(B12/(B12-B23)),"",B12/(B12-B23))</f>
        <v/>
      </c>
      <c r="C93" s="187">
        <f>IF(ISERROR(C12/(C12-C23)),"",C12/(C12-C23))</f>
        <v/>
      </c>
      <c r="D93" s="187">
        <f>IF(ISERROR(D12/(D12-D23)),"",D12/(D12-D23))</f>
        <v/>
      </c>
    </row>
    <row r="94" hidden="1" ht="13.8" customHeight="1" s="112">
      <c r="A94" s="178" t="inlineStr">
        <is>
          <t>BR - capital adjusted to zero</t>
        </is>
      </c>
      <c r="B94" s="186">
        <f>IF(ISERROR(B128/(B128-B132)),"",B128/(B128-B132))</f>
        <v/>
      </c>
      <c r="C94" s="187">
        <f>IF(ISERROR(C128/(C128-C132)),"",C128/(C128-C132))</f>
        <v/>
      </c>
      <c r="D94" s="187">
        <f>IF(ISERROR(D128/(D128-D132)),"",D128/(D128-D132))</f>
        <v/>
      </c>
    </row>
    <row r="95" hidden="1" ht="13.8" customHeight="1" s="112">
      <c r="A95" s="178" t="inlineStr">
        <is>
          <t>BR - capital adjusted to tested party</t>
        </is>
      </c>
      <c r="B95" s="186">
        <f>IF(ISERROR(B129/(B129-B133)),"",B129/(B129-B133))</f>
        <v/>
      </c>
      <c r="C95" s="187">
        <f>IF(ISERROR(C129/(C129-C133)),"",C129/(C129-C133))</f>
        <v/>
      </c>
      <c r="D95" s="187">
        <f>IF(ISERROR(D129/(D129-D133)),"",D129/(D129-D133))</f>
        <v/>
      </c>
    </row>
    <row r="96" hidden="1" ht="13.8" customHeight="1" s="112">
      <c r="A96" s="162" t="n"/>
    </row>
    <row r="97" hidden="1" ht="13.8" customHeight="1" s="112">
      <c r="A97" s="175" t="inlineStr">
        <is>
          <t>Return on assets</t>
        </is>
      </c>
    </row>
    <row r="98" hidden="1" ht="13.8" customHeight="1" s="112">
      <c r="A98" s="178" t="inlineStr">
        <is>
          <t>RoA - unadjusted</t>
        </is>
      </c>
      <c r="B98" s="182">
        <f>IF(ISERROR(B23/B105),"",B23/B105)</f>
        <v/>
      </c>
      <c r="C98" s="181">
        <f>IF(ISERROR(C23/C105),"",C23/C105)</f>
        <v/>
      </c>
      <c r="D98" s="181">
        <f>IF(ISERROR(D23/D105),"",D23/D105)</f>
        <v/>
      </c>
    </row>
    <row r="99" hidden="1" ht="13.8" customHeight="1" s="112">
      <c r="A99" s="178" t="inlineStr">
        <is>
          <t>RoA - capital adjusted to zero</t>
        </is>
      </c>
      <c r="B99" s="182">
        <f>IF(ISERROR(B132/B105),"",B132/B105)</f>
        <v/>
      </c>
      <c r="C99" s="181">
        <f>IF(ISERROR(C132/C105),"",C132/C105)</f>
        <v/>
      </c>
      <c r="D99" s="181">
        <f>IF(ISERROR(D132/D105),"",D132/D105)</f>
        <v/>
      </c>
    </row>
    <row r="100" hidden="1" ht="13.8" customHeight="1" s="112">
      <c r="A100" s="178" t="inlineStr">
        <is>
          <t>RoA - capital adjusted to tested party</t>
        </is>
      </c>
      <c r="B100" s="182">
        <f>IF(ISERROR(B133/B105),"",B133/B105)</f>
        <v/>
      </c>
      <c r="C100" s="181">
        <f>IF(ISERROR(C133/C105),"",C133/C105)</f>
        <v/>
      </c>
      <c r="D100" s="181">
        <f>IF(ISERROR(D133/D105),"",D133/D105)</f>
        <v/>
      </c>
      <c r="XEV100" s="188" t="n"/>
      <c r="XEW100" s="188" t="n"/>
      <c r="XEX100" s="188" t="n"/>
      <c r="XEY100" s="188" t="n"/>
      <c r="XEZ100" s="188" t="n"/>
      <c r="XFA100" s="188" t="n"/>
      <c r="XFB100" s="188" t="n"/>
      <c r="XFC100" s="188" t="n"/>
      <c r="XFD100" s="188" t="n"/>
    </row>
    <row r="101" hidden="1" ht="13.8" customHeight="1" s="112">
      <c r="A101" s="178" t="n"/>
      <c r="XEV101" s="189" t="n"/>
      <c r="XEW101" s="189" t="n"/>
      <c r="XEX101" s="189" t="n"/>
      <c r="XEY101" s="189" t="n"/>
      <c r="XEZ101" s="189" t="n"/>
      <c r="XFA101" s="189" t="n"/>
      <c r="XFB101" s="189" t="n"/>
      <c r="XFC101" s="189" t="n"/>
      <c r="XFD101" s="189" t="n"/>
    </row>
    <row r="102" hidden="1" ht="13.8" customHeight="1" s="112">
      <c r="A102" s="162" t="n"/>
      <c r="XEV102" s="190" t="n"/>
      <c r="XEW102" s="190" t="n"/>
      <c r="XEX102" s="190" t="n"/>
      <c r="XEY102" s="190" t="n"/>
      <c r="XEZ102" s="190" t="n"/>
      <c r="XFA102" s="190" t="n"/>
      <c r="XFB102" s="190" t="n"/>
      <c r="XFC102" s="190" t="n"/>
      <c r="XFD102" s="190" t="n"/>
    </row>
    <row r="103" hidden="1" ht="13.8" customHeight="1" s="112">
      <c r="A103" s="191" t="inlineStr">
        <is>
          <t>Constructed values</t>
        </is>
      </c>
      <c r="B103" s="192" t="n"/>
      <c r="C103" s="193" t="n"/>
      <c r="D103" s="193" t="n"/>
    </row>
    <row r="104" hidden="1" ht="13.8" customHeight="1" s="112">
      <c r="A104" s="191" t="n"/>
      <c r="B104" s="192" t="n"/>
      <c r="C104" s="193" t="n"/>
      <c r="D104" s="193" t="n"/>
    </row>
    <row r="105" hidden="1" ht="13.8" customHeight="1" s="112">
      <c r="A105" s="194" t="inlineStr">
        <is>
          <t>Operating assets</t>
        </is>
      </c>
      <c r="B105" s="192">
        <f>B67-B66</f>
        <v/>
      </c>
      <c r="C105" s="193">
        <f>C67-C66</f>
        <v/>
      </c>
      <c r="D105" s="193">
        <f>D67-D66</f>
        <v/>
      </c>
      <c r="XEV105" s="195" t="n"/>
      <c r="XEW105" s="195" t="n"/>
      <c r="XEX105" s="195" t="n"/>
      <c r="XEY105" s="195" t="n"/>
      <c r="XEZ105" s="195" t="n"/>
      <c r="XFA105" s="195" t="n"/>
      <c r="XFB105" s="195" t="n"/>
      <c r="XFC105" s="195" t="n"/>
      <c r="XFD105" s="195" t="n"/>
    </row>
    <row r="106" hidden="1" ht="13.8" customHeight="1" s="112">
      <c r="A106" s="194" t="n"/>
      <c r="B106" s="192" t="n"/>
      <c r="C106" s="193" t="n"/>
      <c r="D106" s="193" t="n"/>
      <c r="XEV106" s="196" t="n"/>
      <c r="XEW106" s="196" t="n"/>
      <c r="XEX106" s="196" t="n"/>
      <c r="XEY106" s="196" t="n"/>
      <c r="XEZ106" s="196" t="n"/>
      <c r="XFA106" s="196" t="n"/>
      <c r="XFB106" s="196" t="n"/>
      <c r="XFC106" s="196" t="n"/>
      <c r="XFD106" s="196" t="n"/>
    </row>
    <row r="107" ht="13.8" customHeight="1" s="112">
      <c r="A107" s="194" t="inlineStr">
        <is>
          <t>Total cost</t>
        </is>
      </c>
      <c r="B107" s="197">
        <f>B11+B13</f>
        <v/>
      </c>
      <c r="C107" s="198">
        <f>C11+C13</f>
        <v/>
      </c>
      <c r="D107" s="198">
        <f>D11+D13</f>
        <v/>
      </c>
      <c r="XEV107" s="199" t="n"/>
      <c r="XEW107" s="199" t="n"/>
      <c r="XEX107" s="199" t="n"/>
      <c r="XEY107" s="199" t="n"/>
      <c r="XEZ107" s="199" t="n"/>
      <c r="XFA107" s="199" t="n"/>
      <c r="XFB107" s="199" t="n"/>
      <c r="XFC107" s="199" t="n"/>
      <c r="XFD107" s="199" t="n"/>
    </row>
    <row r="108" hidden="1" ht="13.8" customHeight="1" s="112">
      <c r="A108" s="194" t="n"/>
      <c r="B108" s="192" t="n"/>
      <c r="C108" s="193" t="n"/>
      <c r="D108" s="193" t="n"/>
    </row>
    <row r="109" hidden="1" ht="13.8" customHeight="1" s="112">
      <c r="A109" s="200" t="inlineStr">
        <is>
          <t>Capital adjusted to zero</t>
        </is>
      </c>
      <c r="B109" s="192" t="n"/>
      <c r="C109" s="193" t="n"/>
      <c r="D109" s="193" t="n"/>
    </row>
    <row r="110" hidden="1" ht="13.8" customHeight="1" s="112">
      <c r="A110" s="201" t="inlineStr">
        <is>
          <t>Receivables adjustment</t>
        </is>
      </c>
      <c r="B110" s="202">
        <f>(0-(B64/B10))*B10*(#REF!/(1+#REF!))</f>
        <v/>
      </c>
      <c r="C110" s="203">
        <f>(0-(C64/C10))*C10*(#REF!/(1+#REF!))</f>
        <v/>
      </c>
      <c r="D110" s="203">
        <f>(0-(D64/D10))*D10*(#REF!/(1+#REF!))</f>
        <v/>
      </c>
    </row>
    <row r="111" hidden="1" ht="13.8" customHeight="1" s="112">
      <c r="A111" s="204" t="inlineStr">
        <is>
          <t>Inventory adjustment</t>
        </is>
      </c>
      <c r="B111" s="205">
        <f>(0-(B65/B11))*B11*#REF!</f>
        <v/>
      </c>
      <c r="C111" s="206">
        <f>(0-(C65/C11))*C11*#REF!</f>
        <v/>
      </c>
      <c r="D111" s="206">
        <f>(0-(D65/D11))*D11*#REF!</f>
        <v/>
      </c>
    </row>
    <row r="112" hidden="1" ht="13.8" customHeight="1" s="112">
      <c r="A112" s="207" t="inlineStr">
        <is>
          <t>Payables adjustment</t>
        </is>
      </c>
      <c r="B112" s="208">
        <f>(0-(B69/B11))*B11*(#REF!/(1+#REF!))</f>
        <v/>
      </c>
      <c r="C112" s="209">
        <f>(0-(C69/C11))*C11*(#REF!/(1+#REF!))</f>
        <v/>
      </c>
      <c r="D112" s="209">
        <f>(0-(D69/D11))*D11*(#REF!/(1+#REF!))</f>
        <v/>
      </c>
    </row>
    <row r="113" hidden="1" ht="13.8" customHeight="1" s="112">
      <c r="A113" s="210" t="n"/>
      <c r="B113" s="192" t="n"/>
      <c r="C113" s="193" t="n"/>
      <c r="D113" s="193" t="n"/>
    </row>
    <row r="114" hidden="1" ht="13.8" customHeight="1" s="112">
      <c r="A114" s="200" t="inlineStr">
        <is>
          <t>Capital adjusted to tested party</t>
        </is>
      </c>
      <c r="B114" s="192" t="n"/>
      <c r="C114" s="193" t="n"/>
      <c r="D114" s="193" t="n"/>
    </row>
    <row r="115" hidden="1" ht="13.8" customHeight="1" s="112">
      <c r="A115" s="211" t="inlineStr">
        <is>
          <t>Receivables adjustment</t>
        </is>
      </c>
      <c r="B115" s="212">
        <f>((#REF!/#REF!)-(B64/B10))*B10*(#REF!/(1+#REF!))</f>
        <v/>
      </c>
      <c r="C115" s="213">
        <f>((#REF!/#REF!)-(C64/C10))*C10*(#REF!/(1+#REF!))</f>
        <v/>
      </c>
      <c r="D115" s="213">
        <f>((#REF!/#REF!)-(D64/D10))*D10*(#REF!/(1+#REF!))</f>
        <v/>
      </c>
    </row>
    <row r="116" hidden="1" ht="13.8" customHeight="1" s="112">
      <c r="A116" s="214" t="inlineStr">
        <is>
          <t>Inventory adjustment</t>
        </is>
      </c>
      <c r="B116" s="215">
        <f>((#REF!/#REF!)-(B65/B11))*B11*#REF!</f>
        <v/>
      </c>
      <c r="C116" s="216">
        <f>((#REF!/#REF!)-(C65/C11))*C11*#REF!</f>
        <v/>
      </c>
      <c r="D116" s="216">
        <f>((#REF!/#REF!)-(D65/D11))*D11*#REF!</f>
        <v/>
      </c>
    </row>
    <row r="117" hidden="1" ht="13.8" customHeight="1" s="112">
      <c r="A117" s="217" t="inlineStr">
        <is>
          <t>Payables adjustment</t>
        </is>
      </c>
      <c r="B117" s="218">
        <f>((#REF!/#REF!)-(B69/B11))*B11*(#REF!/(1+#REF!))</f>
        <v/>
      </c>
      <c r="C117" s="219">
        <f>((#REF!/#REF!)-(C69/C11))*C11*(#REF!/(1+#REF!))</f>
        <v/>
      </c>
      <c r="D117" s="219">
        <f>((#REF!/#REF!)-(D69/D11))*D11*(#REF!/(1+#REF!))</f>
        <v/>
      </c>
    </row>
    <row r="118" hidden="1" ht="13.8" customHeight="1" s="112">
      <c r="A118" s="210" t="n"/>
      <c r="B118" s="192" t="n"/>
      <c r="C118" s="193" t="n"/>
      <c r="D118" s="193" t="n"/>
    </row>
    <row r="119" hidden="1" ht="13.8" customHeight="1" s="112">
      <c r="A119" s="194" t="inlineStr">
        <is>
          <t>Adjusted net sales</t>
        </is>
      </c>
      <c r="B119" s="192" t="n"/>
      <c r="C119" s="193" t="n"/>
      <c r="D119" s="193" t="n"/>
    </row>
    <row r="120" hidden="1" ht="13.8" customHeight="1" s="112">
      <c r="A120" s="210" t="inlineStr">
        <is>
          <t>Adjusted to zero</t>
        </is>
      </c>
      <c r="B120" s="192">
        <f>B10+B110</f>
        <v/>
      </c>
      <c r="C120" s="193">
        <f>C10+C110</f>
        <v/>
      </c>
      <c r="D120" s="193">
        <f>D10+D110</f>
        <v/>
      </c>
    </row>
    <row r="121" hidden="1" ht="13.8" customHeight="1" s="112">
      <c r="A121" s="210" t="inlineStr">
        <is>
          <t>Adjusted to tested party</t>
        </is>
      </c>
      <c r="B121" s="192">
        <f>B10+B115</f>
        <v/>
      </c>
      <c r="C121" s="193">
        <f>C10+C115</f>
        <v/>
      </c>
      <c r="D121" s="193">
        <f>D10+D115</f>
        <v/>
      </c>
    </row>
    <row r="122" hidden="1" ht="13.8" customHeight="1" s="112">
      <c r="A122" s="210" t="n"/>
      <c r="B122" s="192" t="n"/>
      <c r="C122" s="193" t="n"/>
      <c r="D122" s="193" t="n"/>
    </row>
    <row r="123" hidden="1" ht="13.8" customHeight="1" s="112">
      <c r="A123" s="194" t="inlineStr">
        <is>
          <t>Adjusted cost of goods sold</t>
        </is>
      </c>
      <c r="B123" s="192" t="n"/>
      <c r="C123" s="193" t="n"/>
      <c r="D123" s="193" t="n"/>
    </row>
    <row r="124" hidden="1" ht="13.8" customHeight="1" s="112">
      <c r="A124" s="210" t="inlineStr">
        <is>
          <t>Adjusted to zero</t>
        </is>
      </c>
      <c r="B124" s="192">
        <f>B11-B111+B112</f>
        <v/>
      </c>
      <c r="C124" s="193">
        <f>C11-C111+C112</f>
        <v/>
      </c>
      <c r="D124" s="193">
        <f>D11-D111+D112</f>
        <v/>
      </c>
    </row>
    <row r="125" hidden="1" ht="13.8" customHeight="1" s="112">
      <c r="A125" s="210" t="inlineStr">
        <is>
          <t>Adjusted to tested party</t>
        </is>
      </c>
      <c r="B125" s="192">
        <f>B11-B116+B117</f>
        <v/>
      </c>
      <c r="C125" s="193">
        <f>C11-C116+C117</f>
        <v/>
      </c>
      <c r="D125" s="193">
        <f>D11-D116+D117</f>
        <v/>
      </c>
    </row>
    <row r="126" hidden="1" ht="13.8" customHeight="1" s="112">
      <c r="A126" s="210" t="n"/>
      <c r="B126" s="192" t="n"/>
      <c r="C126" s="193" t="n"/>
      <c r="D126" s="193" t="n"/>
    </row>
    <row r="127" hidden="1" ht="13.8" customHeight="1" s="112">
      <c r="A127" s="194" t="inlineStr">
        <is>
          <t>Adjusted gross profit</t>
        </is>
      </c>
      <c r="B127" s="192" t="n"/>
      <c r="C127" s="193" t="n"/>
      <c r="D127" s="193" t="n"/>
    </row>
    <row r="128" hidden="1" ht="13.8" customHeight="1" s="112">
      <c r="A128" s="210" t="inlineStr">
        <is>
          <t>Adjusted to zero</t>
        </is>
      </c>
      <c r="B128" s="192">
        <f>B12+B110+B111-B112</f>
        <v/>
      </c>
      <c r="C128" s="193">
        <f>C12+C110+C111-C112</f>
        <v/>
      </c>
      <c r="D128" s="193">
        <f>D12+D110+D111-D112</f>
        <v/>
      </c>
    </row>
    <row r="129" hidden="1" ht="13.8" customHeight="1" s="112">
      <c r="A129" s="210" t="inlineStr">
        <is>
          <t>Adjusted to tested party</t>
        </is>
      </c>
      <c r="B129" s="192">
        <f>B12+B115+B116-B117</f>
        <v/>
      </c>
      <c r="C129" s="193">
        <f>C12+C115+C116-C117</f>
        <v/>
      </c>
      <c r="D129" s="193">
        <f>D12+D115+D116-D117</f>
        <v/>
      </c>
    </row>
    <row r="130" hidden="1" ht="13.8" customHeight="1" s="112">
      <c r="A130" s="210" t="n"/>
      <c r="B130" s="192" t="n"/>
      <c r="C130" s="193" t="n"/>
      <c r="D130" s="193" t="n"/>
    </row>
    <row r="131" hidden="1" ht="13.8" customHeight="1" s="112">
      <c r="A131" s="194" t="inlineStr">
        <is>
          <t>Adjusted operating profit</t>
        </is>
      </c>
      <c r="B131" s="192" t="n"/>
      <c r="C131" s="193" t="n"/>
      <c r="D131" s="193" t="n"/>
    </row>
    <row r="132" hidden="1" ht="13.8" customHeight="1" s="112">
      <c r="A132" s="210" t="inlineStr">
        <is>
          <t>Adjusted to zero</t>
        </is>
      </c>
      <c r="B132" s="192">
        <f>B23+B110+B111-B112</f>
        <v/>
      </c>
      <c r="C132" s="193">
        <f>C23+C110+C111-C112</f>
        <v/>
      </c>
      <c r="D132" s="193">
        <f>D23+D110+D111-D112</f>
        <v/>
      </c>
    </row>
    <row r="133" hidden="1" ht="13.8" customHeight="1" s="112">
      <c r="A133" s="210" t="inlineStr">
        <is>
          <t>Adjusted to tested party</t>
        </is>
      </c>
      <c r="B133" s="192">
        <f>B23+B115+B116-B117</f>
        <v/>
      </c>
      <c r="C133" s="193">
        <f>C23+C115+C116-C117</f>
        <v/>
      </c>
      <c r="D133" s="193">
        <f>D23+D115+D116-D117</f>
        <v/>
      </c>
      <c r="XEV133" s="188" t="n"/>
      <c r="XEW133" s="188" t="n"/>
      <c r="XEX133" s="188" t="n"/>
      <c r="XEY133" s="188" t="n"/>
      <c r="XEZ133" s="188" t="n"/>
      <c r="XFA133" s="188" t="n"/>
      <c r="XFB133" s="188" t="n"/>
      <c r="XFC133" s="188" t="n"/>
      <c r="XFD133" s="188" t="n"/>
    </row>
    <row r="134" hidden="1" ht="13.8" customHeight="1" s="112">
      <c r="A134" s="210" t="n"/>
      <c r="B134" s="192" t="n"/>
      <c r="C134" s="193" t="n"/>
      <c r="D134" s="193" t="n"/>
      <c r="XEV134" s="189" t="n"/>
      <c r="XEW134" s="189" t="n"/>
      <c r="XEX134" s="189" t="n"/>
      <c r="XEY134" s="189" t="n"/>
      <c r="XEZ134" s="189" t="n"/>
      <c r="XFA134" s="189" t="n"/>
      <c r="XFB134" s="189" t="n"/>
      <c r="XFC134" s="189" t="n"/>
      <c r="XFD134" s="189" t="n"/>
    </row>
    <row r="135" hidden="1" ht="13.8" customHeight="1" s="112">
      <c r="A135" s="194" t="inlineStr">
        <is>
          <t>Adjusted total cost</t>
        </is>
      </c>
      <c r="B135" s="192" t="n"/>
      <c r="C135" s="193" t="n"/>
      <c r="D135" s="193" t="n"/>
      <c r="XEV135" s="190" t="n"/>
      <c r="XEW135" s="190" t="n"/>
      <c r="XEX135" s="190" t="n"/>
      <c r="XEY135" s="190" t="n"/>
      <c r="XEZ135" s="190" t="n"/>
      <c r="XFA135" s="190" t="n"/>
      <c r="XFB135" s="190" t="n"/>
      <c r="XFC135" s="190" t="n"/>
      <c r="XFD135" s="190" t="n"/>
    </row>
    <row r="136" hidden="1" ht="13.8" customHeight="1" s="112">
      <c r="A136" s="210" t="inlineStr">
        <is>
          <t>Adjusted to zero</t>
        </is>
      </c>
      <c r="B136" s="192">
        <f>B107-B111+B112</f>
        <v/>
      </c>
      <c r="C136" s="193">
        <f>C107-C111+C112</f>
        <v/>
      </c>
      <c r="D136" s="193">
        <f>D107-D111+D112</f>
        <v/>
      </c>
    </row>
    <row r="137" hidden="1" ht="13.8" customHeight="1" s="112">
      <c r="A137" s="210" t="inlineStr">
        <is>
          <t>Adjusted to tested party</t>
        </is>
      </c>
      <c r="B137" s="192">
        <f>B107-B116+B117</f>
        <v/>
      </c>
      <c r="C137" s="193">
        <f>C107-C116+C117</f>
        <v/>
      </c>
      <c r="D137" s="193">
        <f>D107-D116+D117</f>
        <v/>
      </c>
    </row>
    <row r="138" hidden="1" ht="13.8" customHeight="1" s="112">
      <c r="A138" s="220" t="n"/>
      <c r="XEV138" s="195" t="n"/>
      <c r="XEW138" s="195" t="n"/>
      <c r="XEX138" s="195" t="n"/>
      <c r="XEY138" s="195" t="n"/>
      <c r="XEZ138" s="195" t="n"/>
      <c r="XFA138" s="195" t="n"/>
      <c r="XFB138" s="195" t="n"/>
      <c r="XFC138" s="195" t="n"/>
      <c r="XFD138" s="195" t="n"/>
    </row>
    <row r="139" hidden="1" ht="13.8" customHeight="1" s="112">
      <c r="A139" s="220" t="n"/>
      <c r="XEV139" s="196" t="n"/>
      <c r="XEW139" s="196" t="n"/>
      <c r="XEX139" s="196" t="n"/>
      <c r="XEY139" s="196" t="n"/>
      <c r="XEZ139" s="196" t="n"/>
      <c r="XFA139" s="196" t="n"/>
      <c r="XFB139" s="196" t="n"/>
      <c r="XFC139" s="196" t="n"/>
      <c r="XFD139" s="196" t="n"/>
    </row>
    <row r="140" hidden="1" ht="13.8" customHeight="1" s="112">
      <c r="A140" s="191" t="inlineStr">
        <is>
          <t>Service company adjustments</t>
        </is>
      </c>
      <c r="B140" s="192" t="n"/>
      <c r="C140" s="193" t="n"/>
      <c r="D140" s="193" t="n"/>
      <c r="XEV140" s="199" t="n"/>
      <c r="XEW140" s="199" t="n"/>
      <c r="XEX140" s="199" t="n"/>
      <c r="XEY140" s="199" t="n"/>
      <c r="XEZ140" s="199" t="n"/>
      <c r="XFA140" s="199" t="n"/>
      <c r="XFB140" s="199" t="n"/>
      <c r="XFC140" s="199" t="n"/>
      <c r="XFD140" s="199" t="n"/>
    </row>
    <row r="141" hidden="1" ht="13.8" customHeight="1" s="112">
      <c r="A141" s="191" t="n"/>
      <c r="B141" s="192" t="n"/>
      <c r="C141" s="193" t="n"/>
      <c r="D141" s="193" t="n"/>
    </row>
    <row r="142" hidden="1" ht="13.8" customHeight="1" s="112">
      <c r="A142" s="200" t="inlineStr">
        <is>
          <t>Capital adjusted to zero</t>
        </is>
      </c>
      <c r="B142" s="192" t="n"/>
      <c r="C142" s="193" t="n"/>
      <c r="D142" s="193" t="n"/>
    </row>
    <row r="143" hidden="1" ht="13.8" customHeight="1" s="112">
      <c r="A143" s="201" t="inlineStr">
        <is>
          <t>Receivables adjustment</t>
        </is>
      </c>
      <c r="B143" s="202">
        <f>(0-(B64/B10))*B10*(#REF!/(1+#REF!))</f>
        <v/>
      </c>
      <c r="C143" s="203">
        <f>(0-(C64/C10))*C10*(#REF!/(1+#REF!))</f>
        <v/>
      </c>
      <c r="D143" s="203">
        <f>(0-(D64/D10))*D10*(#REF!/(1+#REF!))</f>
        <v/>
      </c>
    </row>
    <row r="144" hidden="1" ht="13.8" customHeight="1" s="112">
      <c r="A144" s="204" t="inlineStr">
        <is>
          <t>Inventory adjustment</t>
        </is>
      </c>
      <c r="B144" s="205">
        <f>(0-(B65/B107))*B107*#REF!</f>
        <v/>
      </c>
      <c r="C144" s="206">
        <f>(0-(C65/C107))*C107*#REF!</f>
        <v/>
      </c>
      <c r="D144" s="206">
        <f>(0-(D65/D107))*D107*#REF!</f>
        <v/>
      </c>
    </row>
    <row r="145" hidden="1" ht="13.8" customHeight="1" s="112">
      <c r="A145" s="207" t="inlineStr">
        <is>
          <t>Payables adjustment</t>
        </is>
      </c>
      <c r="B145" s="208">
        <f>(0-(B69/B107))*B107*(#REF!/(1+#REF!))</f>
        <v/>
      </c>
      <c r="C145" s="209">
        <f>(0-(C69/C107))*C107*(#REF!/(1+#REF!))</f>
        <v/>
      </c>
      <c r="D145" s="209">
        <f>(0-(D69/D107))*D107*(#REF!/(1+#REF!))</f>
        <v/>
      </c>
    </row>
    <row r="146" hidden="1" ht="13.8" customHeight="1" s="112">
      <c r="A146" s="210" t="n"/>
      <c r="B146" s="192" t="n"/>
      <c r="C146" s="193" t="n"/>
      <c r="D146" s="193" t="n"/>
    </row>
    <row r="147" hidden="1" ht="13.8" customHeight="1" s="112">
      <c r="A147" s="200" t="inlineStr">
        <is>
          <t>Capital adjusted to tested party</t>
        </is>
      </c>
      <c r="B147" s="192" t="n"/>
      <c r="C147" s="193" t="n"/>
      <c r="D147" s="193" t="n"/>
    </row>
    <row r="148" hidden="1" ht="13.8" customHeight="1" s="112">
      <c r="A148" s="211" t="inlineStr">
        <is>
          <t>Receivables adjustment</t>
        </is>
      </c>
      <c r="B148" s="212">
        <f>((#REF!/#REF!)-(B64/B10))*B10*(#REF!/(1+#REF!))</f>
        <v/>
      </c>
      <c r="C148" s="213">
        <f>((#REF!/#REF!)-(C64/C10))*C10*(#REF!/(1+#REF!))</f>
        <v/>
      </c>
      <c r="D148" s="213">
        <f>((#REF!/#REF!)-(D64/D10))*D10*(#REF!/(1+#REF!))</f>
        <v/>
      </c>
    </row>
    <row r="149" hidden="1" ht="13.8" customHeight="1" s="112">
      <c r="A149" s="214" t="inlineStr">
        <is>
          <t>Inventory adjustment</t>
        </is>
      </c>
      <c r="B149" s="215">
        <f>((#REF!/#REF!)-(B65/B107))*B107*#REF!</f>
        <v/>
      </c>
      <c r="C149" s="216">
        <f>((#REF!/#REF!)-(C65/C107))*C107*#REF!</f>
        <v/>
      </c>
      <c r="D149" s="216">
        <f>((#REF!/#REF!)-(D65/D107))*D107*#REF!</f>
        <v/>
      </c>
    </row>
    <row r="150" hidden="1" ht="13.8" customHeight="1" s="112">
      <c r="A150" s="217" t="inlineStr">
        <is>
          <t>Payables adjustment</t>
        </is>
      </c>
      <c r="B150" s="218">
        <f>((#REF!/#REF!)-(B69/B107))*B107*(#REF!/(1+#REF!))</f>
        <v/>
      </c>
      <c r="C150" s="219">
        <f>((#REF!/#REF!)-(C69/C107))*C107*(#REF!/(1+#REF!))</f>
        <v/>
      </c>
      <c r="D150" s="219">
        <f>((#REF!/#REF!)-(D69/D107))*D107*(#REF!/(1+#REF!))</f>
        <v/>
      </c>
    </row>
    <row r="151" ht="13.8" customHeight="1" s="112">
      <c r="A151" s="220" t="n"/>
    </row>
    <row r="152" ht="13.8" customHeight="1" s="112">
      <c r="A152" s="220" t="n"/>
    </row>
    <row r="153" ht="13.8" customHeight="1" s="112">
      <c r="A153" s="220" t="n"/>
    </row>
    <row r="154" ht="13.8" customHeight="1" s="112">
      <c r="A154" s="220" t="n"/>
    </row>
    <row r="155" ht="13.8" customHeight="1" s="112">
      <c r="A155" s="220" t="n"/>
    </row>
    <row r="156" ht="13.8" customHeight="1" s="112">
      <c r="A156" s="220" t="n"/>
    </row>
    <row r="157" ht="13.8" customHeight="1" s="112">
      <c r="A157" s="220" t="n"/>
    </row>
    <row r="158" ht="13.8" customHeight="1" s="112">
      <c r="A158" s="220" t="n"/>
    </row>
    <row r="159" ht="13.8" customHeight="1" s="112">
      <c r="A159" s="220" t="n"/>
    </row>
    <row r="160" ht="13.8" customHeight="1" s="112">
      <c r="A160" s="220" t="n"/>
    </row>
    <row r="161" ht="13.8" customHeight="1" s="112">
      <c r="A161" s="220" t="n"/>
    </row>
    <row r="162" ht="13.8" customHeight="1" s="112">
      <c r="A162" s="220" t="n"/>
    </row>
    <row r="163" ht="13.8" customHeight="1" s="112">
      <c r="A163" s="220" t="n"/>
    </row>
    <row r="164" ht="13.8" customHeight="1" s="112">
      <c r="A164" s="220" t="n"/>
    </row>
    <row r="165" ht="13.8" customHeight="1" s="112">
      <c r="A165" s="220" t="n"/>
    </row>
    <row r="166" ht="13.8" customHeight="1" s="112">
      <c r="A166" s="220" t="n"/>
    </row>
    <row r="167" ht="13.8" customHeight="1" s="112">
      <c r="A167" s="220" t="n"/>
    </row>
    <row r="168" ht="13.8" customHeight="1" s="112">
      <c r="A168" s="220" t="n"/>
    </row>
    <row r="169" ht="13.8" customHeight="1" s="112">
      <c r="A169" s="220" t="n"/>
    </row>
    <row r="170" ht="13.8" customHeight="1" s="112">
      <c r="A170" s="220" t="n"/>
    </row>
    <row r="171" ht="13.8" customHeight="1" s="112">
      <c r="A171" s="220" t="n"/>
    </row>
    <row r="172" ht="13.8" customHeight="1" s="112">
      <c r="A172" s="220" t="n"/>
    </row>
    <row r="173" ht="13.8" customHeight="1" s="112">
      <c r="A173" s="220" t="n"/>
    </row>
    <row r="174" ht="13.8" customHeight="1" s="112">
      <c r="A174" s="220" t="n"/>
    </row>
    <row r="175" ht="13.8" customHeight="1" s="112">
      <c r="A175" s="220" t="n"/>
    </row>
    <row r="176" ht="13.8" customHeight="1" s="112">
      <c r="A176" s="220" t="n"/>
    </row>
    <row r="177" ht="13.8" customHeight="1" s="112">
      <c r="A177" s="220" t="n"/>
    </row>
    <row r="178" ht="13.8" customHeight="1" s="112">
      <c r="A178" s="220" t="n"/>
    </row>
    <row r="179" ht="13.8" customHeight="1" s="112">
      <c r="A179" s="220" t="n"/>
    </row>
    <row r="180" ht="13.8" customHeight="1" s="112">
      <c r="A180" s="220" t="n"/>
    </row>
    <row r="181" ht="13.8" customHeight="1" s="112">
      <c r="A181" s="220" t="n"/>
    </row>
    <row r="182" ht="13.8" customHeight="1" s="112">
      <c r="A182" s="220" t="n"/>
    </row>
    <row r="183" ht="13.8" customHeight="1" s="112">
      <c r="A183" s="220" t="n"/>
    </row>
    <row r="184" ht="13.8" customHeight="1" s="112">
      <c r="A184" s="220" t="n"/>
    </row>
    <row r="185" ht="13.8" customHeight="1" s="112">
      <c r="A185" s="220" t="n"/>
    </row>
    <row r="186" ht="13.8" customHeight="1" s="112">
      <c r="A186" s="220" t="n"/>
    </row>
    <row r="187" ht="13.8" customHeight="1" s="112">
      <c r="A187" s="220" t="n"/>
    </row>
    <row r="188" ht="13.8" customHeight="1" s="112">
      <c r="A188" s="220" t="n"/>
    </row>
    <row r="189" ht="13.8" customHeight="1" s="112">
      <c r="A189" s="220" t="n"/>
    </row>
    <row r="190" ht="13.8" customHeight="1" s="112">
      <c r="A190" s="220" t="n"/>
    </row>
    <row r="191" ht="13.8" customHeight="1" s="112">
      <c r="A191" s="220" t="n"/>
    </row>
    <row r="192" ht="13.8" customHeight="1" s="112">
      <c r="A192" s="220" t="n"/>
    </row>
    <row r="193" ht="13.8" customHeight="1" s="112">
      <c r="A193" s="220" t="n"/>
    </row>
    <row r="194" ht="13.8" customHeight="1" s="112">
      <c r="A194" s="220" t="n"/>
    </row>
    <row r="195" ht="13.8" customHeight="1" s="112">
      <c r="A195" s="220" t="n"/>
    </row>
    <row r="196" ht="13.8" customHeight="1" s="112">
      <c r="A196" s="220" t="n"/>
    </row>
    <row r="197" ht="13.8" customHeight="1" s="112">
      <c r="A197" s="220" t="n"/>
    </row>
    <row r="198" ht="13.8" customHeight="1" s="112">
      <c r="A198" s="220" t="n"/>
    </row>
    <row r="199" ht="13.8" customHeight="1" s="112">
      <c r="A199" s="220" t="n"/>
    </row>
    <row r="200" ht="13.8" customHeight="1" s="112">
      <c r="A200" s="220" t="n"/>
    </row>
    <row r="201" ht="13.8" customHeight="1" s="112">
      <c r="A201" s="220" t="n"/>
    </row>
    <row r="202" ht="13.8" customHeight="1" s="112">
      <c r="A202" s="220" t="n"/>
    </row>
    <row r="203" ht="13.8" customHeight="1" s="112">
      <c r="A203" s="220" t="n"/>
    </row>
    <row r="204" ht="13.8" customHeight="1" s="112">
      <c r="A204" s="220" t="n"/>
    </row>
    <row r="205" ht="13.8" customHeight="1" s="112">
      <c r="A205" s="220" t="n"/>
    </row>
    <row r="206" ht="13.8" customHeight="1" s="112">
      <c r="A206" s="220" t="n"/>
    </row>
    <row r="207" ht="13.8" customHeight="1" s="112">
      <c r="A207" s="220" t="n"/>
    </row>
    <row r="208" ht="13.8" customHeight="1" s="112">
      <c r="A208" s="220" t="n"/>
    </row>
    <row r="209" ht="13.8" customHeight="1" s="112">
      <c r="A209" s="220" t="n"/>
    </row>
    <row r="210" ht="13.8" customHeight="1" s="112">
      <c r="A210" s="220" t="n"/>
    </row>
    <row r="211" ht="13.8" customHeight="1" s="112">
      <c r="A211" s="220" t="n"/>
    </row>
    <row r="212" ht="13.8" customHeight="1" s="112">
      <c r="A212" s="220" t="n"/>
    </row>
    <row r="213" ht="13.8" customHeight="1" s="112">
      <c r="A213" s="220" t="n"/>
    </row>
    <row r="214" ht="13.8" customHeight="1" s="112">
      <c r="A214" s="220" t="n"/>
    </row>
    <row r="215" ht="13.8" customHeight="1" s="112">
      <c r="A215" s="220" t="n"/>
    </row>
    <row r="216" ht="13.8" customHeight="1" s="112">
      <c r="A216" s="220" t="n"/>
    </row>
    <row r="217" ht="13.8" customHeight="1" s="112">
      <c r="A217" s="220" t="n"/>
    </row>
    <row r="218" ht="13.8" customHeight="1" s="112">
      <c r="A218" s="220" t="n"/>
    </row>
    <row r="219" ht="13.8" customHeight="1" s="112">
      <c r="A219" s="220" t="n"/>
    </row>
    <row r="220" ht="13.8" customHeight="1" s="112">
      <c r="A220" s="220" t="n"/>
    </row>
    <row r="221" ht="13.8" customHeight="1" s="112">
      <c r="A221" s="220" t="n"/>
    </row>
    <row r="222" ht="13.8" customHeight="1" s="112">
      <c r="A222" s="220" t="n"/>
    </row>
    <row r="223" ht="13.8" customHeight="1" s="112">
      <c r="A223" s="220" t="n"/>
    </row>
    <row r="224" ht="13.8" customHeight="1" s="112">
      <c r="A224" s="220" t="n"/>
    </row>
    <row r="225" ht="13.8" customHeight="1" s="112">
      <c r="A225" s="220" t="n"/>
    </row>
    <row r="226" ht="13.8" customHeight="1" s="112">
      <c r="A226" s="220" t="n"/>
    </row>
    <row r="227" ht="13.8" customHeight="1" s="112">
      <c r="A227" s="220" t="n"/>
    </row>
    <row r="228" ht="13.8" customHeight="1" s="112">
      <c r="A228" s="220" t="n"/>
    </row>
    <row r="229" ht="13.8" customHeight="1" s="112">
      <c r="A229" s="220" t="n"/>
    </row>
    <row r="230" ht="13.8" customHeight="1" s="112">
      <c r="A230" s="220" t="n"/>
    </row>
    <row r="231" ht="13.8" customHeight="1" s="112">
      <c r="A231" s="220" t="n"/>
    </row>
    <row r="232" ht="13.8" customHeight="1" s="112">
      <c r="A232" s="220" t="n"/>
    </row>
    <row r="233" ht="13.8" customHeight="1" s="112">
      <c r="A233" s="220" t="n"/>
    </row>
    <row r="234" ht="13.8" customHeight="1" s="112">
      <c r="A234" s="220" t="n"/>
    </row>
    <row r="235" ht="13.8" customHeight="1" s="112">
      <c r="A235" s="220" t="n"/>
    </row>
    <row r="236" ht="13.8" customHeight="1" s="112">
      <c r="A236" s="220" t="n"/>
    </row>
    <row r="237" ht="13.8" customHeight="1" s="112">
      <c r="A237" s="220" t="n"/>
    </row>
    <row r="238" ht="13.8" customHeight="1" s="112">
      <c r="A238" s="220" t="n"/>
    </row>
    <row r="239" ht="13.8" customHeight="1" s="112">
      <c r="A239" s="220" t="n"/>
    </row>
    <row r="240" ht="13.8" customHeight="1" s="112">
      <c r="A240" s="220" t="n"/>
    </row>
    <row r="241" ht="13.8" customHeight="1" s="112">
      <c r="A241" s="220" t="n"/>
    </row>
    <row r="242" ht="13.8" customHeight="1" s="112">
      <c r="A242" s="220" t="n"/>
    </row>
    <row r="243" ht="13.8" customHeight="1" s="112">
      <c r="A243" s="220" t="n"/>
    </row>
    <row r="244" ht="13.8" customHeight="1" s="112">
      <c r="A244" s="220" t="n"/>
    </row>
    <row r="245" ht="13.8" customHeight="1" s="112">
      <c r="A245" s="220" t="n"/>
    </row>
    <row r="246" ht="13.8" customHeight="1" s="112">
      <c r="A246" s="220" t="n"/>
    </row>
    <row r="247" ht="13.8" customHeight="1" s="112">
      <c r="A247" s="220" t="n"/>
    </row>
    <row r="248" ht="13.8" customHeight="1" s="112">
      <c r="A248" s="220" t="n"/>
    </row>
    <row r="249" ht="13.8" customHeight="1" s="112">
      <c r="A249" s="220" t="n"/>
    </row>
    <row r="250" ht="13.8" customHeight="1" s="112">
      <c r="A250" s="220" t="n"/>
    </row>
    <row r="251" ht="13.8" customHeight="1" s="112">
      <c r="A251" s="220" t="n"/>
    </row>
    <row r="252" ht="13.8" customHeight="1" s="112">
      <c r="A252" s="220" t="n"/>
    </row>
    <row r="253" ht="13.8" customHeight="1" s="112">
      <c r="A253" s="220" t="n"/>
    </row>
    <row r="254" ht="13.8" customHeight="1" s="112">
      <c r="A254" s="220" t="n"/>
    </row>
    <row r="255" ht="13.8" customHeight="1" s="112">
      <c r="A255" s="220" t="n"/>
    </row>
    <row r="256" ht="13.8" customHeight="1" s="112">
      <c r="A256" s="220" t="n"/>
    </row>
    <row r="257" ht="13.8" customHeight="1" s="112">
      <c r="A257" s="220" t="n"/>
    </row>
    <row r="258" ht="13.8" customHeight="1" s="112">
      <c r="A258" s="220" t="n"/>
    </row>
    <row r="259" ht="13.8" customHeight="1" s="112">
      <c r="A259" s="220" t="n"/>
    </row>
    <row r="260" ht="13.8" customHeight="1" s="112">
      <c r="A260" s="220" t="n"/>
    </row>
    <row r="261" ht="13.8" customHeight="1" s="112">
      <c r="A261" s="220" t="n"/>
    </row>
    <row r="262" ht="13.8" customHeight="1" s="112">
      <c r="A262" s="220" t="n"/>
    </row>
    <row r="263" ht="13.8" customHeight="1" s="112">
      <c r="A263" s="220" t="n"/>
    </row>
    <row r="264" ht="13.8" customHeight="1" s="112">
      <c r="A264" s="220" t="n"/>
    </row>
    <row r="265" ht="13.8" customHeight="1" s="112">
      <c r="A265" s="220" t="n"/>
    </row>
    <row r="266" ht="13.8" customHeight="1" s="112">
      <c r="A266" s="220" t="n"/>
    </row>
    <row r="267" ht="13.8" customHeight="1" s="112">
      <c r="A267" s="220" t="n"/>
    </row>
    <row r="268" ht="13.8" customHeight="1" s="112">
      <c r="A268" s="220" t="n"/>
    </row>
    <row r="269" ht="13.8" customHeight="1" s="112">
      <c r="A269" s="220" t="n"/>
    </row>
    <row r="270" ht="13.8" customHeight="1" s="112">
      <c r="A270" s="220" t="n"/>
    </row>
    <row r="271" ht="13.8" customHeight="1" s="112">
      <c r="A271" s="220" t="n"/>
    </row>
    <row r="272" ht="13.8" customHeight="1" s="112">
      <c r="A272" s="220" t="n"/>
    </row>
    <row r="273" ht="13.8" customHeight="1" s="112">
      <c r="A273" s="220" t="n"/>
    </row>
    <row r="274" ht="13.8" customHeight="1" s="112">
      <c r="A274" s="220" t="n"/>
    </row>
    <row r="275" ht="13.8" customHeight="1" s="112">
      <c r="A275" s="220" t="n"/>
    </row>
    <row r="276" ht="13.8" customHeight="1" s="112">
      <c r="A276" s="220" t="n"/>
    </row>
    <row r="277" ht="13.8" customHeight="1" s="112">
      <c r="A277" s="220" t="n"/>
    </row>
    <row r="278" ht="13.8" customHeight="1" s="112">
      <c r="A278" s="220" t="n"/>
    </row>
    <row r="279" ht="13.8" customHeight="1" s="112">
      <c r="A279" s="220" t="n"/>
    </row>
    <row r="280" ht="13.8" customHeight="1" s="112">
      <c r="A280" s="220" t="n"/>
    </row>
    <row r="281" ht="13.8" customHeight="1" s="112">
      <c r="A281" s="220" t="n"/>
    </row>
    <row r="282" ht="13.8" customHeight="1" s="112">
      <c r="A282" s="220" t="n"/>
    </row>
    <row r="283" ht="13.8" customHeight="1" s="112">
      <c r="A283" s="220" t="n"/>
    </row>
    <row r="284" ht="13.8" customHeight="1" s="112">
      <c r="A284" s="220" t="n"/>
    </row>
    <row r="285" ht="13.8" customHeight="1" s="112">
      <c r="A285" s="220" t="n"/>
    </row>
    <row r="286" ht="13.8" customHeight="1" s="112">
      <c r="A286" s="220" t="n"/>
    </row>
    <row r="287" ht="13.8" customHeight="1" s="112">
      <c r="A287" s="220" t="n"/>
    </row>
    <row r="288" ht="13.8" customHeight="1" s="112">
      <c r="A288" s="220" t="n"/>
    </row>
    <row r="289" ht="13.8" customHeight="1" s="112">
      <c r="A289" s="220" t="n"/>
    </row>
    <row r="290" ht="13.8" customHeight="1" s="112">
      <c r="A290" s="220" t="n"/>
    </row>
    <row r="291" ht="13.8" customHeight="1" s="112">
      <c r="A291" s="220" t="n"/>
    </row>
    <row r="292" ht="13.8" customHeight="1" s="112">
      <c r="A292" s="220" t="n"/>
    </row>
    <row r="293" ht="13.8" customHeight="1" s="112">
      <c r="A293" s="220" t="n"/>
    </row>
    <row r="294" ht="13.8" customHeight="1" s="112">
      <c r="A294" s="220" t="n"/>
    </row>
    <row r="295" ht="13.8" customHeight="1" s="112">
      <c r="A295" s="220" t="n"/>
    </row>
    <row r="296" ht="13.8" customHeight="1" s="112">
      <c r="A296" s="220" t="n"/>
    </row>
    <row r="297" ht="13.8" customHeight="1" s="112">
      <c r="A297" s="220" t="n"/>
    </row>
    <row r="298" ht="13.8" customHeight="1" s="112">
      <c r="A298" s="220" t="n"/>
    </row>
    <row r="299" ht="13.8" customHeight="1" s="112">
      <c r="A299" s="220" t="n"/>
    </row>
    <row r="300" ht="13.8" customHeight="1" s="112">
      <c r="A300" s="220" t="n"/>
    </row>
    <row r="301" ht="13.8" customHeight="1" s="112">
      <c r="A301" s="220" t="n"/>
    </row>
    <row r="302" ht="13.8" customHeight="1" s="112">
      <c r="A302" s="220" t="n"/>
    </row>
    <row r="303" ht="13.8" customHeight="1" s="112">
      <c r="A303" s="220" t="n"/>
    </row>
    <row r="304" ht="13.8" customHeight="1" s="112">
      <c r="A304" s="220" t="n"/>
    </row>
    <row r="305" ht="13.8" customHeight="1" s="112">
      <c r="A305" s="220" t="n"/>
    </row>
    <row r="306" ht="13.8" customHeight="1" s="112">
      <c r="A306" s="220" t="n"/>
    </row>
    <row r="307" ht="13.8" customHeight="1" s="112">
      <c r="A307" s="220" t="n"/>
    </row>
    <row r="308" ht="13.8" customHeight="1" s="112">
      <c r="A308" s="220" t="n"/>
    </row>
    <row r="309" ht="13.8" customHeight="1" s="112">
      <c r="A309" s="220" t="n"/>
    </row>
    <row r="310" ht="13.8" customHeight="1" s="112">
      <c r="A310" s="220" t="n"/>
    </row>
    <row r="311" ht="13.8" customHeight="1" s="112">
      <c r="A311" s="220" t="n"/>
    </row>
    <row r="312" ht="13.8" customHeight="1" s="112">
      <c r="A312" s="220" t="n"/>
    </row>
    <row r="313" ht="13.8" customHeight="1" s="112">
      <c r="A313" s="220" t="n"/>
    </row>
    <row r="314" ht="13.8" customHeight="1" s="112">
      <c r="A314" s="220" t="n"/>
    </row>
    <row r="315" ht="13.8" customHeight="1" s="112">
      <c r="A315" s="220" t="n"/>
    </row>
    <row r="316" ht="13.8" customHeight="1" s="112">
      <c r="A316" s="220" t="n"/>
    </row>
    <row r="317" ht="13.8" customHeight="1" s="112">
      <c r="A317" s="220" t="n"/>
    </row>
    <row r="318" ht="13.8" customHeight="1" s="112">
      <c r="A318" s="220" t="n"/>
    </row>
  </sheetData>
  <printOptions horizontalCentered="0" verticalCentered="0" headings="0" gridLines="0" gridLinesSet="1"/>
  <pageMargins left="0.7" right="0.7" top="0.75" bottom="0.75" header="0.511811023622047" footer="0.511811023622047"/>
  <pageSetup orientation="landscape" paperSize="9" scale="6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XFD318"/>
  <sheetViews>
    <sheetView workbookViewId="0">
      <selection activeCell="A1" sqref="A1"/>
    </sheetView>
  </sheetViews>
  <sheetFormatPr baseColWidth="8" defaultColWidth="11.53515625" defaultRowHeight="13.8" customHeight="1" zeroHeight="0" outlineLevelRow="0"/>
  <cols>
    <col width="39.82" customWidth="1" style="152" min="1" max="1"/>
    <col width="15.54" customWidth="1" style="153" min="2" max="2"/>
    <col width="15.54" customWidth="1" style="110" min="3" max="11"/>
    <col width="15.54" customWidth="1" style="112" min="4" max="4"/>
    <col width="11.53" customWidth="1" style="154" min="16376" max="16384"/>
  </cols>
  <sheetData>
    <row r="1" ht="13.8" customHeight="1" s="112">
      <c r="A1" s="155" t="inlineStr">
        <is>
          <t>Financial Analysis Sdn Bhd</t>
        </is>
      </c>
      <c r="B1" s="154" t="n"/>
      <c r="C1" s="156" t="n"/>
      <c r="D1" s="156" t="n"/>
    </row>
    <row r="2" ht="13.8" customHeight="1" s="112">
      <c r="A2" s="157" t="inlineStr">
        <is>
          <t>3 companies</t>
        </is>
      </c>
      <c r="B2" s="154" t="n"/>
      <c r="C2" s="156" t="n"/>
      <c r="D2" s="156" t="n"/>
    </row>
    <row r="3" ht="13.8" customHeight="1" s="112">
      <c r="A3" s="157" t="inlineStr">
        <is>
          <t>2022</t>
        </is>
      </c>
      <c r="B3" s="154" t="n"/>
      <c r="C3" s="156" t="n"/>
      <c r="D3" s="156" t="n"/>
    </row>
    <row r="4" ht="13.8" customHeight="1" s="112">
      <c r="A4" s="154" t="n"/>
      <c r="B4" s="154" t="n"/>
      <c r="C4" s="156" t="n"/>
      <c r="D4" s="156" t="n"/>
    </row>
    <row r="5" ht="60.75" customHeight="1" s="112">
      <c r="A5" s="158" t="inlineStr">
        <is>
          <t>Account description</t>
        </is>
      </c>
      <c r="B5" s="159" t="inlineStr">
        <is>
          <t>Infastech (Malaysia) Sdn Bhd</t>
        </is>
      </c>
      <c r="C5" s="160" t="inlineStr">
        <is>
          <t>SYW INDUSTRY SDN BHD</t>
        </is>
      </c>
      <c r="D5" s="160" t="inlineStr">
        <is>
          <t>ALIGN FASTENERS MANUFACTURING SDN BHD</t>
        </is>
      </c>
      <c r="XEV5" s="161" t="n"/>
      <c r="XEW5" s="161" t="n"/>
      <c r="XEX5" s="161" t="n"/>
      <c r="XEY5" s="161" t="n"/>
      <c r="XEZ5" s="161" t="n"/>
      <c r="XFA5" s="161" t="n"/>
      <c r="XFB5" s="161" t="n"/>
      <c r="XFC5" s="161" t="n"/>
      <c r="XFD5" s="161" t="n"/>
    </row>
    <row r="6" ht="13.8" customHeight="1" s="112">
      <c r="A6" s="162" t="inlineStr">
        <is>
          <t>Year end date</t>
        </is>
      </c>
      <c r="B6" s="163" t="inlineStr">
        <is>
          <t>2022-12-31</t>
        </is>
      </c>
      <c r="C6" s="164" t="inlineStr">
        <is>
          <t>2022-12-31</t>
        </is>
      </c>
      <c r="D6" s="164" t="inlineStr">
        <is>
          <t>2022-08-31</t>
        </is>
      </c>
      <c r="XEV6" s="165" t="n"/>
      <c r="XEW6" s="165" t="n"/>
      <c r="XEX6" s="165" t="n"/>
      <c r="XEY6" s="165" t="n"/>
      <c r="XEZ6" s="165" t="n"/>
      <c r="XFA6" s="165" t="n"/>
      <c r="XFB6" s="165" t="n"/>
      <c r="XFC6" s="165" t="n"/>
      <c r="XFD6" s="165" t="n"/>
    </row>
    <row r="7" hidden="1" ht="13.8" customHeight="1" s="112">
      <c r="A7" s="162" t="n"/>
      <c r="XEV7" s="165" t="n"/>
      <c r="XEW7" s="165" t="n"/>
      <c r="XEX7" s="165" t="n"/>
      <c r="XEY7" s="165" t="n"/>
      <c r="XEZ7" s="165" t="n"/>
      <c r="XFA7" s="165" t="n"/>
      <c r="XFB7" s="165" t="n"/>
      <c r="XFC7" s="165" t="n"/>
      <c r="XFD7" s="165" t="n"/>
    </row>
    <row r="8" ht="13.8" customHeight="1" s="112">
      <c r="A8" s="162" t="n"/>
      <c r="B8" s="163" t="n"/>
      <c r="C8" s="164" t="n"/>
      <c r="D8" s="164" t="n"/>
      <c r="XEV8" s="165" t="n"/>
      <c r="XEW8" s="165" t="n"/>
      <c r="XEX8" s="165" t="n"/>
      <c r="XEY8" s="165" t="n"/>
      <c r="XEZ8" s="165" t="n"/>
      <c r="XFA8" s="165" t="n"/>
      <c r="XFB8" s="165" t="n"/>
      <c r="XFC8" s="165" t="n"/>
      <c r="XFD8" s="165" t="n"/>
    </row>
    <row r="9" ht="13.9" customHeight="1" s="112">
      <c r="A9" s="166" t="inlineStr">
        <is>
          <t>Income Statement</t>
        </is>
      </c>
    </row>
    <row r="10" ht="13.9" customHeight="1" s="112">
      <c r="A10" s="167" t="inlineStr">
        <is>
          <t>Net sales</t>
        </is>
      </c>
      <c r="B10" s="168" t="n">
        <v>93949828</v>
      </c>
      <c r="C10" s="169" t="n">
        <v>10417563</v>
      </c>
      <c r="D10" s="169" t="n">
        <v>5826012</v>
      </c>
      <c r="XEV10" s="165" t="n"/>
      <c r="XEW10" s="165" t="n"/>
      <c r="XEX10" s="165" t="n"/>
      <c r="XEY10" s="165" t="n"/>
      <c r="XEZ10" s="165" t="n"/>
      <c r="XFA10" s="165" t="n"/>
      <c r="XFB10" s="165" t="n"/>
      <c r="XFC10" s="165" t="n"/>
      <c r="XFD10" s="165" t="n"/>
    </row>
    <row r="11" ht="13.9" customHeight="1" s="112">
      <c r="A11" s="167" t="inlineStr">
        <is>
          <t>Cost of goods sold</t>
        </is>
      </c>
      <c r="B11" s="168" t="n">
        <v>55754080</v>
      </c>
      <c r="C11" s="169" t="n">
        <v>6753569</v>
      </c>
      <c r="D11" s="169" t="n">
        <v>4508671</v>
      </c>
      <c r="XEV11" s="165" t="n"/>
      <c r="XEW11" s="165" t="n"/>
      <c r="XEX11" s="165" t="n"/>
      <c r="XEY11" s="165" t="n"/>
      <c r="XEZ11" s="165" t="n"/>
      <c r="XFA11" s="165" t="n"/>
      <c r="XFB11" s="165" t="n"/>
      <c r="XFC11" s="165" t="n"/>
      <c r="XFD11" s="165" t="n"/>
    </row>
    <row r="12" ht="13.9" customHeight="1" s="112">
      <c r="A12" s="162" t="inlineStr">
        <is>
          <t>Gross profit</t>
        </is>
      </c>
      <c r="B12" s="170">
        <f>IF(B10="",0,IF(AND(B10&lt;&gt;"",B11=""),B10,B10-B11))</f>
        <v/>
      </c>
      <c r="C12" s="171">
        <f>IF(C10="",0,IF(AND(C10&lt;&gt;"",C11=""),C10,C10-C11))</f>
        <v/>
      </c>
      <c r="D12" s="171">
        <f>IF(D10="",0,IF(AND(D10&lt;&gt;"",D11=""),D10,D10-D11))</f>
        <v/>
      </c>
      <c r="XEV12" s="165" t="n"/>
      <c r="XEW12" s="165" t="n"/>
      <c r="XEX12" s="165" t="n"/>
      <c r="XEY12" s="165" t="n"/>
      <c r="XEZ12" s="165" t="n"/>
      <c r="XFA12" s="165" t="n"/>
      <c r="XFB12" s="165" t="n"/>
      <c r="XFC12" s="165" t="n"/>
      <c r="XFD12" s="165" t="n"/>
    </row>
    <row r="13" ht="13.9" customHeight="1" s="112">
      <c r="A13" s="162" t="inlineStr">
        <is>
          <t>Other operating expenses</t>
        </is>
      </c>
      <c r="B13" s="170">
        <f>SUM(B14:B18)</f>
        <v/>
      </c>
      <c r="C13" s="171">
        <f>SUM(C14:C18)</f>
        <v/>
      </c>
      <c r="D13" s="171">
        <f>SUM(D14:D18)</f>
        <v/>
      </c>
    </row>
    <row r="14" ht="13.9" customHeight="1" s="112">
      <c r="A14" s="172" t="inlineStr">
        <is>
          <t>SG&amp;A</t>
        </is>
      </c>
      <c r="B14" s="168" t="n">
        <v>14503141</v>
      </c>
      <c r="C14" s="169" t="n">
        <v>1288497</v>
      </c>
      <c r="D14" s="169" t="n">
        <v>876803</v>
      </c>
    </row>
    <row r="15" ht="13.9" customHeight="1" s="112">
      <c r="A15" s="172" t="inlineStr">
        <is>
          <t>Depreciation and amortization</t>
        </is>
      </c>
      <c r="B15" s="168" t="n">
        <v>3759534</v>
      </c>
      <c r="C15" s="169" t="n">
        <v>317726</v>
      </c>
      <c r="D15" s="169" t="n">
        <v>204549</v>
      </c>
      <c r="XEV15" s="165" t="n"/>
      <c r="XEW15" s="165" t="n"/>
      <c r="XEX15" s="165" t="n"/>
      <c r="XEY15" s="165" t="n"/>
      <c r="XEZ15" s="165" t="n"/>
      <c r="XFA15" s="165" t="n"/>
      <c r="XFB15" s="165" t="n"/>
      <c r="XFC15" s="165" t="n"/>
      <c r="XFD15" s="165" t="n"/>
    </row>
    <row r="16" ht="13.9" customHeight="1" s="112">
      <c r="A16" s="172" t="inlineStr">
        <is>
          <t>Foreign exchange loss</t>
        </is>
      </c>
      <c r="B16" s="168" t="n">
        <v>0</v>
      </c>
      <c r="C16" s="169" t="n">
        <v>8465</v>
      </c>
      <c r="D16" s="169" t="n">
        <v>8158</v>
      </c>
      <c r="XEV16" s="165" t="n"/>
      <c r="XEW16" s="165" t="n"/>
      <c r="XEX16" s="165" t="n"/>
      <c r="XEY16" s="165" t="n"/>
      <c r="XEZ16" s="165" t="n"/>
      <c r="XFA16" s="165" t="n"/>
      <c r="XFB16" s="165" t="n"/>
      <c r="XFC16" s="165" t="n"/>
      <c r="XFD16" s="165" t="n"/>
    </row>
    <row r="17" ht="13.9" customHeight="1" s="112">
      <c r="A17" s="172" t="inlineStr">
        <is>
          <t>Loss on disposal of PPE</t>
        </is>
      </c>
      <c r="B17" s="168" t="n">
        <v>0</v>
      </c>
      <c r="C17" s="169" t="n">
        <v>0</v>
      </c>
      <c r="D17" s="169" t="n">
        <v>0</v>
      </c>
      <c r="XEV17" s="165" t="n"/>
      <c r="XEW17" s="165" t="n"/>
      <c r="XEX17" s="165" t="n"/>
      <c r="XEY17" s="165" t="n"/>
      <c r="XEZ17" s="165" t="n"/>
      <c r="XFA17" s="165" t="n"/>
      <c r="XFB17" s="165" t="n"/>
      <c r="XFC17" s="165" t="n"/>
      <c r="XFD17" s="165" t="n"/>
    </row>
    <row r="18" ht="13.9" customHeight="1" s="112">
      <c r="A18" s="172" t="inlineStr">
        <is>
          <t>Others</t>
        </is>
      </c>
      <c r="B18" s="168" t="n">
        <v>0</v>
      </c>
      <c r="C18" s="169" t="n">
        <v>1145</v>
      </c>
      <c r="D18" s="169" t="n">
        <v>0</v>
      </c>
      <c r="XEV18" s="165" t="n"/>
      <c r="XEW18" s="165" t="n"/>
      <c r="XEX18" s="165" t="n"/>
      <c r="XEY18" s="165" t="n"/>
      <c r="XEZ18" s="165" t="n"/>
      <c r="XFA18" s="165" t="n"/>
      <c r="XFB18" s="165" t="n"/>
      <c r="XFC18" s="165" t="n"/>
      <c r="XFD18" s="165" t="n"/>
    </row>
    <row r="19" ht="13.9" customHeight="1" s="112">
      <c r="A19" s="162" t="inlineStr">
        <is>
          <t>Other operating income</t>
        </is>
      </c>
      <c r="B19" s="170">
        <f>SUM(B20:B22)</f>
        <v/>
      </c>
      <c r="C19" s="171">
        <f>SUM(C20:C22)</f>
        <v/>
      </c>
      <c r="D19" s="171">
        <f>SUM(D20:D22)</f>
        <v/>
      </c>
    </row>
    <row r="20" ht="13.9" customHeight="1" s="112">
      <c r="A20" s="172" t="inlineStr">
        <is>
          <t>Foreign exchange gain</t>
        </is>
      </c>
      <c r="B20" s="168" t="n">
        <v>179401</v>
      </c>
      <c r="C20" s="169" t="n">
        <v>43713</v>
      </c>
      <c r="D20" s="169" t="n">
        <v>3547</v>
      </c>
      <c r="XEV20" s="165" t="n"/>
      <c r="XEW20" s="165" t="n"/>
      <c r="XEX20" s="165" t="n"/>
      <c r="XEY20" s="165" t="n"/>
      <c r="XEZ20" s="165" t="n"/>
      <c r="XFA20" s="165" t="n"/>
      <c r="XFB20" s="165" t="n"/>
      <c r="XFC20" s="165" t="n"/>
      <c r="XFD20" s="165" t="n"/>
    </row>
    <row r="21" ht="13.9" customHeight="1" s="112">
      <c r="A21" s="172" t="inlineStr">
        <is>
          <t>Gain on disposal of PPE</t>
        </is>
      </c>
      <c r="B21" s="168" t="n">
        <v>0</v>
      </c>
      <c r="C21" s="169" t="n">
        <v>30999</v>
      </c>
      <c r="D21" s="169" t="n">
        <v>0</v>
      </c>
      <c r="XEV21" s="165" t="n"/>
      <c r="XEW21" s="165" t="n"/>
      <c r="XEX21" s="165" t="n"/>
      <c r="XEY21" s="165" t="n"/>
      <c r="XEZ21" s="165" t="n"/>
      <c r="XFA21" s="165" t="n"/>
      <c r="XFB21" s="165" t="n"/>
      <c r="XFC21" s="165" t="n"/>
      <c r="XFD21" s="165" t="n"/>
    </row>
    <row r="22" ht="13.9" customHeight="1" s="112">
      <c r="A22" s="172" t="inlineStr">
        <is>
          <t>Others</t>
        </is>
      </c>
      <c r="B22" s="168" t="n">
        <v>499890</v>
      </c>
      <c r="C22" s="169" t="n">
        <v>259577</v>
      </c>
      <c r="D22" s="169" t="n">
        <v>2000</v>
      </c>
      <c r="XEV22" s="165" t="n"/>
      <c r="XEW22" s="165" t="n"/>
      <c r="XEX22" s="165" t="n"/>
      <c r="XEY22" s="165" t="n"/>
      <c r="XEZ22" s="165" t="n"/>
      <c r="XFA22" s="165" t="n"/>
      <c r="XFB22" s="165" t="n"/>
      <c r="XFC22" s="165" t="n"/>
      <c r="XFD22" s="165" t="n"/>
    </row>
    <row r="23" ht="13.9" customHeight="1" s="112">
      <c r="A23" s="162" t="inlineStr">
        <is>
          <t>Operating profit</t>
        </is>
      </c>
      <c r="B23" s="170">
        <f>B12-(B13-B19)</f>
        <v/>
      </c>
      <c r="C23" s="171">
        <f>C12-(C13-C19)</f>
        <v/>
      </c>
      <c r="D23" s="171">
        <f>D12-(D13-D19)</f>
        <v/>
      </c>
      <c r="XEV23" s="165" t="n"/>
      <c r="XEW23" s="165" t="n"/>
      <c r="XEX23" s="165" t="n"/>
      <c r="XEY23" s="165" t="n"/>
      <c r="XEZ23" s="165" t="n"/>
      <c r="XFA23" s="165" t="n"/>
      <c r="XFB23" s="165" t="n"/>
      <c r="XFC23" s="165" t="n"/>
      <c r="XFD23" s="165" t="n"/>
    </row>
    <row r="24" ht="13.9" customHeight="1" s="112">
      <c r="A24" s="162" t="inlineStr">
        <is>
          <t>Non-operating expenses</t>
        </is>
      </c>
      <c r="B24" s="170">
        <f>SUM(B25:B28)</f>
        <v/>
      </c>
      <c r="C24" s="171">
        <f>SUM(C25:C28)</f>
        <v/>
      </c>
      <c r="D24" s="171">
        <f>SUM(D25:D28)</f>
        <v/>
      </c>
    </row>
    <row r="25" ht="13.9" customHeight="1" s="112">
      <c r="A25" s="172" t="inlineStr">
        <is>
          <t>Foreign exchange loss</t>
        </is>
      </c>
      <c r="B25" s="168" t="n">
        <v>0</v>
      </c>
      <c r="C25" s="169" t="n">
        <v>0</v>
      </c>
      <c r="D25" s="169" t="n"/>
    </row>
    <row r="26" ht="13.9" customHeight="1" s="112">
      <c r="A26" s="172" t="inlineStr">
        <is>
          <t>Loss on disposal of PPE</t>
        </is>
      </c>
      <c r="B26" s="168" t="n">
        <v>0</v>
      </c>
      <c r="C26" s="169" t="n">
        <v>0</v>
      </c>
      <c r="D26" s="169" t="n"/>
    </row>
    <row r="27" ht="13.9" customHeight="1" s="112">
      <c r="A27" s="172" t="inlineStr">
        <is>
          <t>Interest cost</t>
        </is>
      </c>
      <c r="B27" s="168" t="n">
        <v>47605</v>
      </c>
      <c r="C27" s="169" t="n">
        <v>125767</v>
      </c>
      <c r="D27" s="169" t="n">
        <v>128509</v>
      </c>
    </row>
    <row r="28" ht="13.9" customHeight="1" s="112">
      <c r="A28" s="172" t="inlineStr">
        <is>
          <t>Others</t>
        </is>
      </c>
      <c r="B28" s="168" t="n">
        <v>0</v>
      </c>
      <c r="C28" s="169" t="n">
        <v>0</v>
      </c>
      <c r="D28" s="169" t="n">
        <v>0</v>
      </c>
    </row>
    <row r="29" ht="13.9" customHeight="1" s="112">
      <c r="A29" s="162" t="inlineStr">
        <is>
          <t>Non-operating income</t>
        </is>
      </c>
      <c r="B29" s="170">
        <f>SUM(B30:B33)</f>
        <v/>
      </c>
      <c r="C29" s="171">
        <f>SUM(C30:C33)</f>
        <v/>
      </c>
      <c r="D29" s="171">
        <f>SUM(D30:D33)</f>
        <v/>
      </c>
    </row>
    <row r="30" ht="13.9" customHeight="1" s="112">
      <c r="A30" s="172" t="inlineStr">
        <is>
          <t>Foreign exchange gain</t>
        </is>
      </c>
      <c r="B30" s="168" t="n">
        <v>0</v>
      </c>
      <c r="C30" s="169" t="n">
        <v>0</v>
      </c>
      <c r="D30" s="169" t="n"/>
    </row>
    <row r="31" ht="13.9" customHeight="1" s="112">
      <c r="A31" s="172" t="inlineStr">
        <is>
          <t>Gain on disposal of PPE</t>
        </is>
      </c>
      <c r="B31" s="168" t="n">
        <v>0</v>
      </c>
      <c r="C31" s="169" t="n">
        <v>0</v>
      </c>
      <c r="D31" s="169" t="n"/>
    </row>
    <row r="32" ht="13.9" customHeight="1" s="112">
      <c r="A32" s="172" t="inlineStr">
        <is>
          <t>Interest income</t>
        </is>
      </c>
      <c r="B32" s="168" t="n">
        <v>2212958</v>
      </c>
      <c r="C32" s="169" t="n">
        <v>45390</v>
      </c>
      <c r="D32" s="169" t="n">
        <v>2684</v>
      </c>
    </row>
    <row r="33" ht="13.9" customHeight="1" s="112">
      <c r="A33" s="172" t="inlineStr">
        <is>
          <t>Others</t>
        </is>
      </c>
      <c r="B33" s="168" t="n">
        <v>0</v>
      </c>
      <c r="C33" s="169" t="n">
        <v>0</v>
      </c>
      <c r="D33" s="169" t="n">
        <v>0</v>
      </c>
    </row>
    <row r="34" ht="13.9" customHeight="1" s="112">
      <c r="A34" s="162" t="inlineStr">
        <is>
          <t>Profit before tax</t>
        </is>
      </c>
      <c r="B34" s="173">
        <f>B23-(B24-B29)</f>
        <v/>
      </c>
      <c r="C34" s="174">
        <f>C23-(C24-C29)</f>
        <v/>
      </c>
      <c r="D34" s="174">
        <f>D23-(D24-D29)</f>
        <v/>
      </c>
    </row>
    <row r="35" ht="13.8" customHeight="1" s="112">
      <c r="A35" s="162" t="n"/>
    </row>
    <row r="36" hidden="1" ht="13.8" customHeight="1" s="112">
      <c r="A36" s="166" t="inlineStr">
        <is>
          <t>Balance Sheet</t>
        </is>
      </c>
    </row>
    <row r="37" hidden="1" ht="13.8" customHeight="1" s="112">
      <c r="A37" s="175" t="inlineStr">
        <is>
          <t>Assets</t>
        </is>
      </c>
    </row>
    <row r="38" hidden="1" ht="13.8" customHeight="1" s="112">
      <c r="A38" s="162" t="inlineStr">
        <is>
          <t>Current assets</t>
        </is>
      </c>
      <c r="B38" s="176" t="n">
        <v>182015084</v>
      </c>
      <c r="C38" s="177" t="n">
        <v>4848231</v>
      </c>
      <c r="D38" s="177" t="n">
        <v>3466571</v>
      </c>
    </row>
    <row r="39" hidden="1" ht="13.8" customHeight="1" s="112">
      <c r="A39" s="178" t="inlineStr">
        <is>
          <t>Cash and bank balance</t>
        </is>
      </c>
      <c r="B39" s="176" t="n">
        <v>16809167</v>
      </c>
      <c r="C39" s="177" t="n">
        <v>2304715</v>
      </c>
      <c r="D39" s="177" t="n">
        <v>348646</v>
      </c>
    </row>
    <row r="40" hidden="1" ht="13.8" customHeight="1" s="112">
      <c r="A40" s="178" t="inlineStr">
        <is>
          <t>Accounts receivable</t>
        </is>
      </c>
      <c r="B40" s="176" t="n">
        <v>18353860</v>
      </c>
      <c r="C40" s="177" t="n">
        <v>1297719</v>
      </c>
      <c r="D40" s="177" t="n">
        <v>1245412</v>
      </c>
    </row>
    <row r="41" hidden="1" ht="13.8" customHeight="1" s="112">
      <c r="A41" s="178" t="inlineStr">
        <is>
          <t>Inventory</t>
        </is>
      </c>
      <c r="B41" s="176" t="n">
        <v>17924835</v>
      </c>
      <c r="C41" s="177" t="n">
        <v>1134352</v>
      </c>
      <c r="D41" s="177" t="n">
        <v>1687972</v>
      </c>
    </row>
    <row r="42" hidden="1" ht="13.8" customHeight="1" s="112">
      <c r="A42" s="178" t="inlineStr">
        <is>
          <t>Others (short term)</t>
        </is>
      </c>
      <c r="B42" s="176" t="n">
        <v>128927222</v>
      </c>
      <c r="C42" s="177" t="n">
        <v>111445</v>
      </c>
      <c r="D42" s="177" t="n">
        <v>184541</v>
      </c>
    </row>
    <row r="43" hidden="1" ht="13.8" customHeight="1" s="112">
      <c r="A43" s="162" t="inlineStr">
        <is>
          <t>Fixed assets</t>
        </is>
      </c>
      <c r="B43" s="176" t="n"/>
      <c r="C43" s="177" t="n"/>
      <c r="D43" s="177" t="n"/>
    </row>
    <row r="44" hidden="1" ht="13.8" customHeight="1" s="112">
      <c r="A44" s="178" t="inlineStr">
        <is>
          <t>PPE (net of depreciation)</t>
        </is>
      </c>
      <c r="B44" s="176" t="n">
        <v>32723194</v>
      </c>
      <c r="C44" s="177" t="n">
        <v>8675813</v>
      </c>
      <c r="D44" s="177" t="n">
        <v>2879551</v>
      </c>
    </row>
    <row r="45" hidden="1" ht="13.8" customHeight="1" s="112">
      <c r="A45" s="178" t="inlineStr">
        <is>
          <t>Intangibles (net of amortization)</t>
        </is>
      </c>
      <c r="B45" s="176" t="n">
        <v>245643640</v>
      </c>
      <c r="C45" s="177" t="n">
        <v>0</v>
      </c>
      <c r="D45" s="177" t="n">
        <v>0</v>
      </c>
    </row>
    <row r="46" hidden="1" ht="13.8" customHeight="1" s="112">
      <c r="A46" s="178" t="inlineStr">
        <is>
          <t>Investments</t>
        </is>
      </c>
      <c r="B46" s="176" t="n">
        <v>0</v>
      </c>
      <c r="C46" s="177" t="n">
        <v>0</v>
      </c>
      <c r="D46" s="177" t="n">
        <v>0</v>
      </c>
    </row>
    <row r="47" hidden="1" ht="13.8" customHeight="1" s="112">
      <c r="A47" s="178" t="inlineStr">
        <is>
          <t>Others</t>
        </is>
      </c>
      <c r="B47" s="176" t="n">
        <v>0</v>
      </c>
      <c r="C47" s="177" t="n">
        <v>0</v>
      </c>
      <c r="D47" s="177" t="n"/>
    </row>
    <row r="48" hidden="1" ht="13.8" customHeight="1" s="112">
      <c r="A48" s="162" t="inlineStr">
        <is>
          <t>Other assets</t>
        </is>
      </c>
      <c r="B48" s="176" t="n">
        <v>0</v>
      </c>
      <c r="C48" s="177" t="n">
        <v>0</v>
      </c>
      <c r="D48" s="177" t="n"/>
    </row>
    <row r="49" hidden="1" ht="13.8" customHeight="1" s="112">
      <c r="A49" s="162" t="inlineStr">
        <is>
          <t>Total assets</t>
        </is>
      </c>
      <c r="B49" s="176" t="n"/>
      <c r="C49" s="177" t="n"/>
      <c r="D49" s="177" t="n"/>
    </row>
    <row r="50" hidden="1" ht="13.8" customHeight="1" s="112">
      <c r="A50" s="175" t="inlineStr">
        <is>
          <t>Liabilities</t>
        </is>
      </c>
    </row>
    <row r="51" hidden="1" ht="13.8" customHeight="1" s="112">
      <c r="A51" s="162" t="inlineStr">
        <is>
          <t>Current liabilities</t>
        </is>
      </c>
      <c r="B51" s="176" t="n">
        <v>14104043</v>
      </c>
      <c r="C51" s="177" t="n">
        <v>1826317</v>
      </c>
      <c r="D51" s="177" t="n">
        <v>1994879</v>
      </c>
    </row>
    <row r="52" hidden="1" ht="13.8" customHeight="1" s="112">
      <c r="A52" s="178" t="inlineStr">
        <is>
          <t>Accounts payable</t>
        </is>
      </c>
      <c r="B52" s="176" t="n">
        <v>7256753</v>
      </c>
      <c r="C52" s="177" t="n">
        <v>1358536</v>
      </c>
      <c r="D52" s="177" t="n">
        <v>805524</v>
      </c>
    </row>
    <row r="53" hidden="1" ht="13.8" customHeight="1" s="112">
      <c r="A53" s="178" t="inlineStr">
        <is>
          <t>Others (short term)</t>
        </is>
      </c>
      <c r="B53" s="176" t="n">
        <v>6847290</v>
      </c>
      <c r="C53" s="177" t="n">
        <v>467781</v>
      </c>
      <c r="D53" s="177" t="n">
        <v>1189355</v>
      </c>
    </row>
    <row r="54" hidden="1" ht="13.8" customHeight="1" s="112">
      <c r="A54" s="162" t="inlineStr">
        <is>
          <t>Long term liabilities</t>
        </is>
      </c>
      <c r="B54" s="176" t="n"/>
      <c r="C54" s="177" t="n"/>
      <c r="D54" s="177" t="n"/>
    </row>
    <row r="55" hidden="1" ht="13.8" customHeight="1" s="112">
      <c r="A55" s="178" t="inlineStr">
        <is>
          <t>Long term debt</t>
        </is>
      </c>
      <c r="B55" s="176" t="n">
        <v>840174</v>
      </c>
      <c r="C55" s="177" t="n">
        <v>2039443</v>
      </c>
      <c r="D55" s="177" t="n">
        <v>2427468</v>
      </c>
    </row>
    <row r="56" hidden="1" ht="13.8" customHeight="1" s="112">
      <c r="A56" s="178" t="inlineStr">
        <is>
          <t>Others (long term)</t>
        </is>
      </c>
      <c r="B56" s="176" t="n">
        <v>370342</v>
      </c>
      <c r="C56" s="177" t="n">
        <v>0</v>
      </c>
      <c r="D56" s="177" t="n">
        <v>26400</v>
      </c>
    </row>
    <row r="57" hidden="1" ht="13.8" customHeight="1" s="112">
      <c r="A57" s="162" t="inlineStr">
        <is>
          <t>Shareholders' equity</t>
        </is>
      </c>
      <c r="B57" s="176" t="n">
        <v>445067359</v>
      </c>
      <c r="C57" s="177" t="n">
        <v>9658284</v>
      </c>
      <c r="D57" s="177" t="n">
        <v>1897375</v>
      </c>
    </row>
    <row r="58" hidden="1" ht="13.8" customHeight="1" s="112">
      <c r="A58" s="178" t="inlineStr">
        <is>
          <t>Issued share capital</t>
        </is>
      </c>
      <c r="B58" s="176" t="n">
        <v>125341087</v>
      </c>
      <c r="C58" s="177" t="n">
        <v>1000000</v>
      </c>
      <c r="D58" s="177" t="n">
        <v>500000</v>
      </c>
    </row>
    <row r="59" hidden="1" ht="13.8" customHeight="1" s="112">
      <c r="A59" s="178" t="inlineStr">
        <is>
          <t>Reserves and surplus</t>
        </is>
      </c>
      <c r="B59" s="176" t="n">
        <v>319726272</v>
      </c>
      <c r="C59" s="177" t="n">
        <v>8658284</v>
      </c>
      <c r="D59" s="177" t="n">
        <v>1397375</v>
      </c>
    </row>
    <row r="60" hidden="1" ht="13.8" customHeight="1" s="112">
      <c r="A60" s="162" t="inlineStr">
        <is>
          <t>Total liabilities and shareholders' equity</t>
        </is>
      </c>
      <c r="B60" s="176" t="n"/>
      <c r="C60" s="177" t="n"/>
      <c r="D60" s="177" t="n"/>
    </row>
    <row r="61" hidden="1" ht="13.8" customHeight="1" s="112">
      <c r="A61" s="162" t="n"/>
    </row>
    <row r="62" hidden="1" ht="13.8" customHeight="1" s="112">
      <c r="A62" s="166" t="inlineStr">
        <is>
          <t>Average Balance Sheet</t>
        </is>
      </c>
    </row>
    <row r="63" hidden="1" ht="13.8" customHeight="1" s="112">
      <c r="A63" s="175" t="inlineStr">
        <is>
          <t>Assets</t>
        </is>
      </c>
    </row>
    <row r="64" hidden="1" ht="13.8" customHeight="1" s="112">
      <c r="A64" s="178" t="inlineStr">
        <is>
          <t>Accounts receivable</t>
        </is>
      </c>
      <c r="B64" s="176" t="n"/>
      <c r="C64" s="177" t="n"/>
      <c r="D64" s="177" t="n"/>
    </row>
    <row r="65" hidden="1" ht="13.8" customHeight="1" s="112">
      <c r="A65" s="178" t="inlineStr">
        <is>
          <t>Inventory</t>
        </is>
      </c>
      <c r="B65" s="176" t="n"/>
      <c r="C65" s="177" t="n"/>
      <c r="D65" s="177" t="n"/>
    </row>
    <row r="66" hidden="1" ht="13.8" customHeight="1" s="112">
      <c r="A66" s="178" t="inlineStr">
        <is>
          <t>Investments</t>
        </is>
      </c>
      <c r="B66" s="176" t="n"/>
      <c r="C66" s="177" t="n"/>
      <c r="D66" s="177" t="n"/>
    </row>
    <row r="67" hidden="1" ht="13.8" customHeight="1" s="112">
      <c r="A67" s="178" t="inlineStr">
        <is>
          <t>Total assets</t>
        </is>
      </c>
      <c r="B67" s="176" t="n"/>
      <c r="C67" s="177" t="n"/>
      <c r="D67" s="177" t="n"/>
    </row>
    <row r="68" hidden="1" ht="13.8" customHeight="1" s="112">
      <c r="A68" s="175" t="inlineStr">
        <is>
          <t>Liabilities</t>
        </is>
      </c>
    </row>
    <row r="69" hidden="1" ht="13.8" customHeight="1" s="112">
      <c r="A69" s="178" t="inlineStr">
        <is>
          <t>Accounts payable</t>
        </is>
      </c>
      <c r="B69" s="176" t="n"/>
      <c r="C69" s="177" t="n"/>
      <c r="D69" s="177" t="n"/>
    </row>
    <row r="70" hidden="1" ht="13.8" customHeight="1" s="112">
      <c r="A70" s="178" t="n"/>
    </row>
    <row r="71" ht="13.8" customHeight="1" s="112">
      <c r="A71" s="166" t="inlineStr">
        <is>
          <t>Profit level indicators</t>
        </is>
      </c>
      <c r="B71" s="179" t="n"/>
      <c r="C71" s="171" t="n"/>
      <c r="D71" s="171" t="n"/>
    </row>
    <row r="72" hidden="1" ht="13.8" customHeight="1" s="112">
      <c r="A72" s="175" t="inlineStr">
        <is>
          <t>Operating profit margin</t>
        </is>
      </c>
    </row>
    <row r="73" hidden="1" ht="13.8" customHeight="1" s="112">
      <c r="A73" s="178" t="inlineStr">
        <is>
          <t>OPM - unadjusted</t>
        </is>
      </c>
      <c r="B73" s="180">
        <f>IF(ISERROR(B23/B10),"",B23/B10)</f>
        <v/>
      </c>
      <c r="C73" s="181">
        <f>IF(ISERROR(C23/C10),"",C23/C10)</f>
        <v/>
      </c>
      <c r="D73" s="181">
        <f>IF(ISERROR(D23/D10),"",D23/D10)</f>
        <v/>
      </c>
    </row>
    <row r="74" hidden="1" ht="13.8" customHeight="1" s="112">
      <c r="A74" s="178" t="inlineStr">
        <is>
          <t>OPM - capital adjusted to zero</t>
        </is>
      </c>
      <c r="B74" s="180">
        <f>IF(ISERROR(B132/B120),"",B132/B120)</f>
        <v/>
      </c>
      <c r="C74" s="181">
        <f>IF(ISERROR(C132/C120),"",C132/C120)</f>
        <v/>
      </c>
      <c r="D74" s="181">
        <f>IF(ISERROR(D132/D120),"",D132/D120)</f>
        <v/>
      </c>
    </row>
    <row r="75" hidden="1" ht="13.8" customHeight="1" s="112">
      <c r="A75" s="178" t="inlineStr">
        <is>
          <t>OPM - capital adjusted to tested party</t>
        </is>
      </c>
      <c r="B75" s="180">
        <f>IF(ISERROR(B133/B121),"",B133/B121)</f>
        <v/>
      </c>
      <c r="C75" s="181">
        <f>IF(ISERROR(C133/C121),"",C133/C121)</f>
        <v/>
      </c>
      <c r="D75" s="181">
        <f>IF(ISERROR(D133/D121),"",D133/D121)</f>
        <v/>
      </c>
    </row>
    <row r="76" hidden="1" ht="13.8" customHeight="1" s="112">
      <c r="A76" s="162" t="n"/>
    </row>
    <row r="77" hidden="1" ht="13.8" customHeight="1" s="112">
      <c r="A77" s="175" t="inlineStr">
        <is>
          <t>Gross margin (net sales)</t>
        </is>
      </c>
    </row>
    <row r="78" hidden="1" ht="13.8" customHeight="1" s="112">
      <c r="A78" s="178" t="inlineStr">
        <is>
          <t>GM - unadjusted</t>
        </is>
      </c>
      <c r="B78" s="182">
        <f>IF(ISERROR(B12/B10),"",B12/B10)</f>
        <v/>
      </c>
      <c r="C78" s="181">
        <f>IF(ISERROR(C12/C10),"",C12/C10)</f>
        <v/>
      </c>
      <c r="D78" s="181">
        <f>IF(ISERROR(D12/D10),"",D12/D10)</f>
        <v/>
      </c>
    </row>
    <row r="79" hidden="1" ht="13.8" customHeight="1" s="112">
      <c r="A79" s="178" t="inlineStr">
        <is>
          <t>GM - capital adjusted to zero</t>
        </is>
      </c>
      <c r="B79" s="182">
        <f>IF(ISERROR(B128/B120),"",B128/B120)</f>
        <v/>
      </c>
      <c r="C79" s="181">
        <f>IF(ISERROR(C128/C120),"",C128/C120)</f>
        <v/>
      </c>
      <c r="D79" s="181">
        <f>IF(ISERROR(D128/D120),"",D128/D120)</f>
        <v/>
      </c>
    </row>
    <row r="80" hidden="1" ht="13.8" customHeight="1" s="112">
      <c r="A80" s="178" t="inlineStr">
        <is>
          <t>GM - capital adjusted to tested party</t>
        </is>
      </c>
      <c r="B80" s="182">
        <f>IF(ISERROR(B129/B121),"",B129/B121)</f>
        <v/>
      </c>
      <c r="C80" s="181">
        <f>IF(ISERROR(C129/C121),"",C129/C121)</f>
        <v/>
      </c>
      <c r="D80" s="181">
        <f>IF(ISERROR(D129/D121),"",D129/D121)</f>
        <v/>
      </c>
    </row>
    <row r="81" hidden="1" ht="13.8" customHeight="1" s="112">
      <c r="A81" s="162" t="n"/>
    </row>
    <row r="82" hidden="1" ht="13.8" customHeight="1" s="112">
      <c r="A82" s="175" t="inlineStr">
        <is>
          <t>Gross margin (cost of goods sold)</t>
        </is>
      </c>
    </row>
    <row r="83" hidden="1" ht="13.8" customHeight="1" s="112">
      <c r="A83" s="178" t="inlineStr">
        <is>
          <t>GM - unadjusted</t>
        </is>
      </c>
      <c r="B83" s="182">
        <f>IF(ISERROR(B12/B11),"",B12/B11)</f>
        <v/>
      </c>
      <c r="C83" s="181">
        <f>IF(ISERROR(C12/C11),"",C12/C11)</f>
        <v/>
      </c>
      <c r="D83" s="181">
        <f>IF(ISERROR(D12/D11),"",D12/D11)</f>
        <v/>
      </c>
    </row>
    <row r="84" hidden="1" ht="13.8" customHeight="1" s="112">
      <c r="A84" s="178" t="inlineStr">
        <is>
          <t>GM - capital adjusted to zero</t>
        </is>
      </c>
      <c r="B84" s="182">
        <f>IF(ISERROR(B128/B124),"",B128/B124)</f>
        <v/>
      </c>
      <c r="C84" s="181">
        <f>IF(ISERROR(C128/C124),"",C128/C124)</f>
        <v/>
      </c>
      <c r="D84" s="181">
        <f>IF(ISERROR(D128/D124),"",D128/D124)</f>
        <v/>
      </c>
    </row>
    <row r="85" hidden="1" ht="13.8" customHeight="1" s="112">
      <c r="A85" s="178" t="inlineStr">
        <is>
          <t>GM - capital adjusted to tested party</t>
        </is>
      </c>
      <c r="B85" s="182">
        <f>IF(ISERROR(B129/B125),"",B129/B125)</f>
        <v/>
      </c>
      <c r="C85" s="181">
        <f>IF(ISERROR(C129/C125),"",C129/C125)</f>
        <v/>
      </c>
      <c r="D85" s="181">
        <f>IF(ISERROR(D129/D125),"",D129/D125)</f>
        <v/>
      </c>
    </row>
    <row r="86" hidden="1" ht="13.8" customHeight="1" s="112">
      <c r="A86" s="162" t="n"/>
    </row>
    <row r="87" ht="13.8" customHeight="1" s="112">
      <c r="A87" s="175" t="inlineStr">
        <is>
          <t>Mark-up on total cost</t>
        </is>
      </c>
    </row>
    <row r="88" ht="13.8" customHeight="1" s="112">
      <c r="A88" s="183" t="inlineStr">
        <is>
          <t>MOTC - unadjusted</t>
        </is>
      </c>
      <c r="B88" s="184">
        <f>IF(ISERROR(B23/B107),"",B23/B107)</f>
        <v/>
      </c>
      <c r="C88" s="185">
        <f>IF(ISERROR(C23/C107),"",C23/C107)</f>
        <v/>
      </c>
      <c r="D88" s="185">
        <f>IF(ISERROR(D23/D107),"",D23/D107)</f>
        <v/>
      </c>
    </row>
    <row r="89" hidden="1" ht="13.8" customHeight="1" s="112">
      <c r="A89" s="178" t="inlineStr">
        <is>
          <t>NCP - capital adjusted to zero</t>
        </is>
      </c>
      <c r="B89" s="182">
        <f>IF(ISERROR(B132/B136),"",B132/B136)</f>
        <v/>
      </c>
      <c r="C89" s="181">
        <f>IF(ISERROR(C132/C136),"",C132/C136)</f>
        <v/>
      </c>
      <c r="D89" s="181">
        <f>IF(ISERROR(D132/D136),"",D132/D136)</f>
        <v/>
      </c>
    </row>
    <row r="90" hidden="1" ht="13.8" customHeight="1" s="112">
      <c r="A90" s="178" t="inlineStr">
        <is>
          <t>NCP - capital adjusted to tested party</t>
        </is>
      </c>
      <c r="B90" s="182">
        <f>IF(ISERROR(B133/B137),"",B133/B137)</f>
        <v/>
      </c>
      <c r="C90" s="181">
        <f>IF(ISERROR(C133/C137),"",C133/C137)</f>
        <v/>
      </c>
      <c r="D90" s="181">
        <f>IF(ISERROR(D133/D137),"",D133/D137)</f>
        <v/>
      </c>
    </row>
    <row r="91" hidden="1" ht="13.8" customHeight="1" s="112">
      <c r="A91" s="178" t="n"/>
    </row>
    <row r="92" hidden="1" ht="13.8" customHeight="1" s="112">
      <c r="A92" s="175" t="inlineStr">
        <is>
          <t>Berry ratio</t>
        </is>
      </c>
    </row>
    <row r="93" hidden="1" ht="13.8" customHeight="1" s="112">
      <c r="A93" s="178" t="inlineStr">
        <is>
          <t>BR - unadjusted</t>
        </is>
      </c>
      <c r="B93" s="186">
        <f>IF(ISERROR(B12/(B12-B23)),"",B12/(B12-B23))</f>
        <v/>
      </c>
      <c r="C93" s="187">
        <f>IF(ISERROR(C12/(C12-C23)),"",C12/(C12-C23))</f>
        <v/>
      </c>
      <c r="D93" s="187">
        <f>IF(ISERROR(D12/(D12-D23)),"",D12/(D12-D23))</f>
        <v/>
      </c>
    </row>
    <row r="94" hidden="1" ht="13.8" customHeight="1" s="112">
      <c r="A94" s="178" t="inlineStr">
        <is>
          <t>BR - capital adjusted to zero</t>
        </is>
      </c>
      <c r="B94" s="186">
        <f>IF(ISERROR(B128/(B128-B132)),"",B128/(B128-B132))</f>
        <v/>
      </c>
      <c r="C94" s="187">
        <f>IF(ISERROR(C128/(C128-C132)),"",C128/(C128-C132))</f>
        <v/>
      </c>
      <c r="D94" s="187">
        <f>IF(ISERROR(D128/(D128-D132)),"",D128/(D128-D132))</f>
        <v/>
      </c>
    </row>
    <row r="95" hidden="1" ht="13.8" customHeight="1" s="112">
      <c r="A95" s="178" t="inlineStr">
        <is>
          <t>BR - capital adjusted to tested party</t>
        </is>
      </c>
      <c r="B95" s="186">
        <f>IF(ISERROR(B129/(B129-B133)),"",B129/(B129-B133))</f>
        <v/>
      </c>
      <c r="C95" s="187">
        <f>IF(ISERROR(C129/(C129-C133)),"",C129/(C129-C133))</f>
        <v/>
      </c>
      <c r="D95" s="187">
        <f>IF(ISERROR(D129/(D129-D133)),"",D129/(D129-D133))</f>
        <v/>
      </c>
    </row>
    <row r="96" hidden="1" ht="13.8" customHeight="1" s="112">
      <c r="A96" s="162" t="n"/>
    </row>
    <row r="97" hidden="1" ht="13.8" customHeight="1" s="112">
      <c r="A97" s="175" t="inlineStr">
        <is>
          <t>Return on assets</t>
        </is>
      </c>
    </row>
    <row r="98" hidden="1" ht="13.8" customHeight="1" s="112">
      <c r="A98" s="178" t="inlineStr">
        <is>
          <t>RoA - unadjusted</t>
        </is>
      </c>
      <c r="B98" s="182">
        <f>IF(ISERROR(B23/B105),"",B23/B105)</f>
        <v/>
      </c>
      <c r="C98" s="181">
        <f>IF(ISERROR(C23/C105),"",C23/C105)</f>
        <v/>
      </c>
      <c r="D98" s="181">
        <f>IF(ISERROR(D23/D105),"",D23/D105)</f>
        <v/>
      </c>
    </row>
    <row r="99" hidden="1" ht="13.8" customHeight="1" s="112">
      <c r="A99" s="178" t="inlineStr">
        <is>
          <t>RoA - capital adjusted to zero</t>
        </is>
      </c>
      <c r="B99" s="182">
        <f>IF(ISERROR(B132/B105),"",B132/B105)</f>
        <v/>
      </c>
      <c r="C99" s="181">
        <f>IF(ISERROR(C132/C105),"",C132/C105)</f>
        <v/>
      </c>
      <c r="D99" s="181">
        <f>IF(ISERROR(D132/D105),"",D132/D105)</f>
        <v/>
      </c>
    </row>
    <row r="100" hidden="1" ht="13.8" customHeight="1" s="112">
      <c r="A100" s="178" t="inlineStr">
        <is>
          <t>RoA - capital adjusted to tested party</t>
        </is>
      </c>
      <c r="B100" s="182">
        <f>IF(ISERROR(B133/B105),"",B133/B105)</f>
        <v/>
      </c>
      <c r="C100" s="181">
        <f>IF(ISERROR(C133/C105),"",C133/C105)</f>
        <v/>
      </c>
      <c r="D100" s="181">
        <f>IF(ISERROR(D133/D105),"",D133/D105)</f>
        <v/>
      </c>
      <c r="XEV100" s="188" t="n"/>
      <c r="XEW100" s="188" t="n"/>
      <c r="XEX100" s="188" t="n"/>
      <c r="XEY100" s="188" t="n"/>
      <c r="XEZ100" s="188" t="n"/>
      <c r="XFA100" s="188" t="n"/>
      <c r="XFB100" s="188" t="n"/>
      <c r="XFC100" s="188" t="n"/>
      <c r="XFD100" s="188" t="n"/>
    </row>
    <row r="101" hidden="1" ht="13.8" customHeight="1" s="112">
      <c r="A101" s="178" t="n"/>
      <c r="XEV101" s="189" t="n"/>
      <c r="XEW101" s="189" t="n"/>
      <c r="XEX101" s="189" t="n"/>
      <c r="XEY101" s="189" t="n"/>
      <c r="XEZ101" s="189" t="n"/>
      <c r="XFA101" s="189" t="n"/>
      <c r="XFB101" s="189" t="n"/>
      <c r="XFC101" s="189" t="n"/>
      <c r="XFD101" s="189" t="n"/>
    </row>
    <row r="102" hidden="1" ht="13.8" customHeight="1" s="112">
      <c r="A102" s="162" t="n"/>
      <c r="XEV102" s="190" t="n"/>
      <c r="XEW102" s="190" t="n"/>
      <c r="XEX102" s="190" t="n"/>
      <c r="XEY102" s="190" t="n"/>
      <c r="XEZ102" s="190" t="n"/>
      <c r="XFA102" s="190" t="n"/>
      <c r="XFB102" s="190" t="n"/>
      <c r="XFC102" s="190" t="n"/>
      <c r="XFD102" s="190" t="n"/>
    </row>
    <row r="103" hidden="1" ht="13.8" customHeight="1" s="112">
      <c r="A103" s="191" t="inlineStr">
        <is>
          <t>Constructed values</t>
        </is>
      </c>
      <c r="B103" s="192" t="n"/>
      <c r="C103" s="193" t="n"/>
      <c r="D103" s="193" t="n"/>
    </row>
    <row r="104" hidden="1" ht="13.8" customHeight="1" s="112">
      <c r="A104" s="191" t="n"/>
      <c r="B104" s="192" t="n"/>
      <c r="C104" s="193" t="n"/>
      <c r="D104" s="193" t="n"/>
    </row>
    <row r="105" hidden="1" ht="13.8" customHeight="1" s="112">
      <c r="A105" s="194" t="inlineStr">
        <is>
          <t>Operating assets</t>
        </is>
      </c>
      <c r="B105" s="192">
        <f>B67-B66</f>
        <v/>
      </c>
      <c r="C105" s="193">
        <f>C67-C66</f>
        <v/>
      </c>
      <c r="D105" s="193">
        <f>D67-D66</f>
        <v/>
      </c>
      <c r="XEV105" s="195" t="n"/>
      <c r="XEW105" s="195" t="n"/>
      <c r="XEX105" s="195" t="n"/>
      <c r="XEY105" s="195" t="n"/>
      <c r="XEZ105" s="195" t="n"/>
      <c r="XFA105" s="195" t="n"/>
      <c r="XFB105" s="195" t="n"/>
      <c r="XFC105" s="195" t="n"/>
      <c r="XFD105" s="195" t="n"/>
    </row>
    <row r="106" hidden="1" ht="13.8" customHeight="1" s="112">
      <c r="A106" s="194" t="n"/>
      <c r="B106" s="192" t="n"/>
      <c r="C106" s="193" t="n"/>
      <c r="D106" s="193" t="n"/>
      <c r="XEV106" s="196" t="n"/>
      <c r="XEW106" s="196" t="n"/>
      <c r="XEX106" s="196" t="n"/>
      <c r="XEY106" s="196" t="n"/>
      <c r="XEZ106" s="196" t="n"/>
      <c r="XFA106" s="196" t="n"/>
      <c r="XFB106" s="196" t="n"/>
      <c r="XFC106" s="196" t="n"/>
      <c r="XFD106" s="196" t="n"/>
    </row>
    <row r="107" ht="13.8" customHeight="1" s="112">
      <c r="A107" s="194" t="inlineStr">
        <is>
          <t>Total cost</t>
        </is>
      </c>
      <c r="B107" s="197">
        <f>B11+B13</f>
        <v/>
      </c>
      <c r="C107" s="198">
        <f>C11+C13</f>
        <v/>
      </c>
      <c r="D107" s="198">
        <f>D11+D13</f>
        <v/>
      </c>
      <c r="XEV107" s="199" t="n"/>
      <c r="XEW107" s="199" t="n"/>
      <c r="XEX107" s="199" t="n"/>
      <c r="XEY107" s="199" t="n"/>
      <c r="XEZ107" s="199" t="n"/>
      <c r="XFA107" s="199" t="n"/>
      <c r="XFB107" s="199" t="n"/>
      <c r="XFC107" s="199" t="n"/>
      <c r="XFD107" s="199" t="n"/>
    </row>
    <row r="108" hidden="1" ht="13.8" customHeight="1" s="112">
      <c r="A108" s="194" t="n"/>
      <c r="B108" s="192" t="n"/>
      <c r="C108" s="193" t="n"/>
      <c r="D108" s="193" t="n"/>
    </row>
    <row r="109" hidden="1" ht="13.8" customHeight="1" s="112">
      <c r="A109" s="200" t="inlineStr">
        <is>
          <t>Capital adjusted to zero</t>
        </is>
      </c>
      <c r="B109" s="192" t="n"/>
      <c r="C109" s="193" t="n"/>
      <c r="D109" s="193" t="n"/>
    </row>
    <row r="110" hidden="1" ht="13.8" customHeight="1" s="112">
      <c r="A110" s="201" t="inlineStr">
        <is>
          <t>Receivables adjustment</t>
        </is>
      </c>
      <c r="B110" s="202">
        <f>(0-(B64/B10))*B10*(#REF!/(1+#REF!))</f>
        <v/>
      </c>
      <c r="C110" s="203">
        <f>(0-(C64/C10))*C10*(#REF!/(1+#REF!))</f>
        <v/>
      </c>
      <c r="D110" s="203">
        <f>(0-(D64/D10))*D10*(#REF!/(1+#REF!))</f>
        <v/>
      </c>
    </row>
    <row r="111" hidden="1" ht="13.8" customHeight="1" s="112">
      <c r="A111" s="204" t="inlineStr">
        <is>
          <t>Inventory adjustment</t>
        </is>
      </c>
      <c r="B111" s="205">
        <f>(0-(B65/B11))*B11*#REF!</f>
        <v/>
      </c>
      <c r="C111" s="206">
        <f>(0-(C65/C11))*C11*#REF!</f>
        <v/>
      </c>
      <c r="D111" s="206">
        <f>(0-(D65/D11))*D11*#REF!</f>
        <v/>
      </c>
    </row>
    <row r="112" hidden="1" ht="13.8" customHeight="1" s="112">
      <c r="A112" s="207" t="inlineStr">
        <is>
          <t>Payables adjustment</t>
        </is>
      </c>
      <c r="B112" s="208">
        <f>(0-(B69/B11))*B11*(#REF!/(1+#REF!))</f>
        <v/>
      </c>
      <c r="C112" s="209">
        <f>(0-(C69/C11))*C11*(#REF!/(1+#REF!))</f>
        <v/>
      </c>
      <c r="D112" s="209">
        <f>(0-(D69/D11))*D11*(#REF!/(1+#REF!))</f>
        <v/>
      </c>
    </row>
    <row r="113" hidden="1" ht="13.8" customHeight="1" s="112">
      <c r="A113" s="210" t="n"/>
      <c r="B113" s="192" t="n"/>
      <c r="C113" s="193" t="n"/>
      <c r="D113" s="193" t="n"/>
    </row>
    <row r="114" hidden="1" ht="13.8" customHeight="1" s="112">
      <c r="A114" s="200" t="inlineStr">
        <is>
          <t>Capital adjusted to tested party</t>
        </is>
      </c>
      <c r="B114" s="192" t="n"/>
      <c r="C114" s="193" t="n"/>
      <c r="D114" s="193" t="n"/>
    </row>
    <row r="115" hidden="1" ht="13.8" customHeight="1" s="112">
      <c r="A115" s="211" t="inlineStr">
        <is>
          <t>Receivables adjustment</t>
        </is>
      </c>
      <c r="B115" s="212">
        <f>((#REF!/#REF!)-(B64/B10))*B10*(#REF!/(1+#REF!))</f>
        <v/>
      </c>
      <c r="C115" s="213">
        <f>((#REF!/#REF!)-(C64/C10))*C10*(#REF!/(1+#REF!))</f>
        <v/>
      </c>
      <c r="D115" s="213">
        <f>((#REF!/#REF!)-(D64/D10))*D10*(#REF!/(1+#REF!))</f>
        <v/>
      </c>
    </row>
    <row r="116" hidden="1" ht="13.8" customHeight="1" s="112">
      <c r="A116" s="214" t="inlineStr">
        <is>
          <t>Inventory adjustment</t>
        </is>
      </c>
      <c r="B116" s="215">
        <f>((#REF!/#REF!)-(B65/B11))*B11*#REF!</f>
        <v/>
      </c>
      <c r="C116" s="216">
        <f>((#REF!/#REF!)-(C65/C11))*C11*#REF!</f>
        <v/>
      </c>
      <c r="D116" s="216">
        <f>((#REF!/#REF!)-(D65/D11))*D11*#REF!</f>
        <v/>
      </c>
    </row>
    <row r="117" hidden="1" ht="13.8" customHeight="1" s="112">
      <c r="A117" s="217" t="inlineStr">
        <is>
          <t>Payables adjustment</t>
        </is>
      </c>
      <c r="B117" s="218">
        <f>((#REF!/#REF!)-(B69/B11))*B11*(#REF!/(1+#REF!))</f>
        <v/>
      </c>
      <c r="C117" s="219">
        <f>((#REF!/#REF!)-(C69/C11))*C11*(#REF!/(1+#REF!))</f>
        <v/>
      </c>
      <c r="D117" s="219">
        <f>((#REF!/#REF!)-(D69/D11))*D11*(#REF!/(1+#REF!))</f>
        <v/>
      </c>
    </row>
    <row r="118" hidden="1" ht="13.8" customHeight="1" s="112">
      <c r="A118" s="210" t="n"/>
      <c r="B118" s="192" t="n"/>
      <c r="C118" s="193" t="n"/>
      <c r="D118" s="193" t="n"/>
    </row>
    <row r="119" hidden="1" ht="13.8" customHeight="1" s="112">
      <c r="A119" s="194" t="inlineStr">
        <is>
          <t>Adjusted net sales</t>
        </is>
      </c>
      <c r="B119" s="192" t="n"/>
      <c r="C119" s="193" t="n"/>
      <c r="D119" s="193" t="n"/>
    </row>
    <row r="120" hidden="1" ht="13.8" customHeight="1" s="112">
      <c r="A120" s="210" t="inlineStr">
        <is>
          <t>Adjusted to zero</t>
        </is>
      </c>
      <c r="B120" s="192">
        <f>B10+B110</f>
        <v/>
      </c>
      <c r="C120" s="193">
        <f>C10+C110</f>
        <v/>
      </c>
      <c r="D120" s="193">
        <f>D10+D110</f>
        <v/>
      </c>
    </row>
    <row r="121" hidden="1" ht="13.8" customHeight="1" s="112">
      <c r="A121" s="210" t="inlineStr">
        <is>
          <t>Adjusted to tested party</t>
        </is>
      </c>
      <c r="B121" s="192">
        <f>B10+B115</f>
        <v/>
      </c>
      <c r="C121" s="193">
        <f>C10+C115</f>
        <v/>
      </c>
      <c r="D121" s="193">
        <f>D10+D115</f>
        <v/>
      </c>
    </row>
    <row r="122" hidden="1" ht="13.8" customHeight="1" s="112">
      <c r="A122" s="210" t="n"/>
      <c r="B122" s="192" t="n"/>
      <c r="C122" s="193" t="n"/>
      <c r="D122" s="193" t="n"/>
    </row>
    <row r="123" hidden="1" ht="13.8" customHeight="1" s="112">
      <c r="A123" s="194" t="inlineStr">
        <is>
          <t>Adjusted cost of goods sold</t>
        </is>
      </c>
      <c r="B123" s="192" t="n"/>
      <c r="C123" s="193" t="n"/>
      <c r="D123" s="193" t="n"/>
    </row>
    <row r="124" hidden="1" ht="13.8" customHeight="1" s="112">
      <c r="A124" s="210" t="inlineStr">
        <is>
          <t>Adjusted to zero</t>
        </is>
      </c>
      <c r="B124" s="192">
        <f>B11-B111+B112</f>
        <v/>
      </c>
      <c r="C124" s="193">
        <f>C11-C111+C112</f>
        <v/>
      </c>
      <c r="D124" s="193">
        <f>D11-D111+D112</f>
        <v/>
      </c>
    </row>
    <row r="125" hidden="1" ht="13.8" customHeight="1" s="112">
      <c r="A125" s="210" t="inlineStr">
        <is>
          <t>Adjusted to tested party</t>
        </is>
      </c>
      <c r="B125" s="192">
        <f>B11-B116+B117</f>
        <v/>
      </c>
      <c r="C125" s="193">
        <f>C11-C116+C117</f>
        <v/>
      </c>
      <c r="D125" s="193">
        <f>D11-D116+D117</f>
        <v/>
      </c>
    </row>
    <row r="126" hidden="1" ht="13.8" customHeight="1" s="112">
      <c r="A126" s="210" t="n"/>
      <c r="B126" s="192" t="n"/>
      <c r="C126" s="193" t="n"/>
      <c r="D126" s="193" t="n"/>
    </row>
    <row r="127" hidden="1" ht="13.8" customHeight="1" s="112">
      <c r="A127" s="194" t="inlineStr">
        <is>
          <t>Adjusted gross profit</t>
        </is>
      </c>
      <c r="B127" s="192" t="n"/>
      <c r="C127" s="193" t="n"/>
      <c r="D127" s="193" t="n"/>
    </row>
    <row r="128" hidden="1" ht="13.8" customHeight="1" s="112">
      <c r="A128" s="210" t="inlineStr">
        <is>
          <t>Adjusted to zero</t>
        </is>
      </c>
      <c r="B128" s="192">
        <f>B12+B110+B111-B112</f>
        <v/>
      </c>
      <c r="C128" s="193">
        <f>C12+C110+C111-C112</f>
        <v/>
      </c>
      <c r="D128" s="193">
        <f>D12+D110+D111-D112</f>
        <v/>
      </c>
    </row>
    <row r="129" hidden="1" ht="13.8" customHeight="1" s="112">
      <c r="A129" s="210" t="inlineStr">
        <is>
          <t>Adjusted to tested party</t>
        </is>
      </c>
      <c r="B129" s="192">
        <f>B12+B115+B116-B117</f>
        <v/>
      </c>
      <c r="C129" s="193">
        <f>C12+C115+C116-C117</f>
        <v/>
      </c>
      <c r="D129" s="193">
        <f>D12+D115+D116-D117</f>
        <v/>
      </c>
    </row>
    <row r="130" hidden="1" ht="13.8" customHeight="1" s="112">
      <c r="A130" s="210" t="n"/>
      <c r="B130" s="192" t="n"/>
      <c r="C130" s="193" t="n"/>
      <c r="D130" s="193" t="n"/>
    </row>
    <row r="131" hidden="1" ht="13.8" customHeight="1" s="112">
      <c r="A131" s="194" t="inlineStr">
        <is>
          <t>Adjusted operating profit</t>
        </is>
      </c>
      <c r="B131" s="192" t="n"/>
      <c r="C131" s="193" t="n"/>
      <c r="D131" s="193" t="n"/>
    </row>
    <row r="132" hidden="1" ht="13.8" customHeight="1" s="112">
      <c r="A132" s="210" t="inlineStr">
        <is>
          <t>Adjusted to zero</t>
        </is>
      </c>
      <c r="B132" s="192">
        <f>B23+B110+B111-B112</f>
        <v/>
      </c>
      <c r="C132" s="193">
        <f>C23+C110+C111-C112</f>
        <v/>
      </c>
      <c r="D132" s="193">
        <f>D23+D110+D111-D112</f>
        <v/>
      </c>
    </row>
    <row r="133" hidden="1" ht="13.8" customHeight="1" s="112">
      <c r="A133" s="210" t="inlineStr">
        <is>
          <t>Adjusted to tested party</t>
        </is>
      </c>
      <c r="B133" s="192">
        <f>B23+B115+B116-B117</f>
        <v/>
      </c>
      <c r="C133" s="193">
        <f>C23+C115+C116-C117</f>
        <v/>
      </c>
      <c r="D133" s="193">
        <f>D23+D115+D116-D117</f>
        <v/>
      </c>
      <c r="XEV133" s="188" t="n"/>
      <c r="XEW133" s="188" t="n"/>
      <c r="XEX133" s="188" t="n"/>
      <c r="XEY133" s="188" t="n"/>
      <c r="XEZ133" s="188" t="n"/>
      <c r="XFA133" s="188" t="n"/>
      <c r="XFB133" s="188" t="n"/>
      <c r="XFC133" s="188" t="n"/>
      <c r="XFD133" s="188" t="n"/>
    </row>
    <row r="134" hidden="1" ht="13.8" customHeight="1" s="112">
      <c r="A134" s="210" t="n"/>
      <c r="B134" s="192" t="n"/>
      <c r="C134" s="193" t="n"/>
      <c r="D134" s="193" t="n"/>
      <c r="XEV134" s="189" t="n"/>
      <c r="XEW134" s="189" t="n"/>
      <c r="XEX134" s="189" t="n"/>
      <c r="XEY134" s="189" t="n"/>
      <c r="XEZ134" s="189" t="n"/>
      <c r="XFA134" s="189" t="n"/>
      <c r="XFB134" s="189" t="n"/>
      <c r="XFC134" s="189" t="n"/>
      <c r="XFD134" s="189" t="n"/>
    </row>
    <row r="135" hidden="1" ht="13.8" customHeight="1" s="112">
      <c r="A135" s="194" t="inlineStr">
        <is>
          <t>Adjusted total cost</t>
        </is>
      </c>
      <c r="B135" s="192" t="n"/>
      <c r="C135" s="193" t="n"/>
      <c r="D135" s="193" t="n"/>
      <c r="XEV135" s="190" t="n"/>
      <c r="XEW135" s="190" t="n"/>
      <c r="XEX135" s="190" t="n"/>
      <c r="XEY135" s="190" t="n"/>
      <c r="XEZ135" s="190" t="n"/>
      <c r="XFA135" s="190" t="n"/>
      <c r="XFB135" s="190" t="n"/>
      <c r="XFC135" s="190" t="n"/>
      <c r="XFD135" s="190" t="n"/>
    </row>
    <row r="136" hidden="1" ht="13.8" customHeight="1" s="112">
      <c r="A136" s="210" t="inlineStr">
        <is>
          <t>Adjusted to zero</t>
        </is>
      </c>
      <c r="B136" s="192">
        <f>B107-B111+B112</f>
        <v/>
      </c>
      <c r="C136" s="193">
        <f>C107-C111+C112</f>
        <v/>
      </c>
      <c r="D136" s="193">
        <f>D107-D111+D112</f>
        <v/>
      </c>
    </row>
    <row r="137" hidden="1" ht="13.8" customHeight="1" s="112">
      <c r="A137" s="210" t="inlineStr">
        <is>
          <t>Adjusted to tested party</t>
        </is>
      </c>
      <c r="B137" s="192">
        <f>B107-B116+B117</f>
        <v/>
      </c>
      <c r="C137" s="193">
        <f>C107-C116+C117</f>
        <v/>
      </c>
      <c r="D137" s="193">
        <f>D107-D116+D117</f>
        <v/>
      </c>
    </row>
    <row r="138" hidden="1" ht="13.8" customHeight="1" s="112">
      <c r="A138" s="220" t="n"/>
      <c r="XEV138" s="195" t="n"/>
      <c r="XEW138" s="195" t="n"/>
      <c r="XEX138" s="195" t="n"/>
      <c r="XEY138" s="195" t="n"/>
      <c r="XEZ138" s="195" t="n"/>
      <c r="XFA138" s="195" t="n"/>
      <c r="XFB138" s="195" t="n"/>
      <c r="XFC138" s="195" t="n"/>
      <c r="XFD138" s="195" t="n"/>
    </row>
    <row r="139" hidden="1" ht="13.8" customHeight="1" s="112">
      <c r="A139" s="220" t="n"/>
      <c r="XEV139" s="196" t="n"/>
      <c r="XEW139" s="196" t="n"/>
      <c r="XEX139" s="196" t="n"/>
      <c r="XEY139" s="196" t="n"/>
      <c r="XEZ139" s="196" t="n"/>
      <c r="XFA139" s="196" t="n"/>
      <c r="XFB139" s="196" t="n"/>
      <c r="XFC139" s="196" t="n"/>
      <c r="XFD139" s="196" t="n"/>
    </row>
    <row r="140" hidden="1" ht="13.8" customHeight="1" s="112">
      <c r="A140" s="191" t="inlineStr">
        <is>
          <t>Service company adjustments</t>
        </is>
      </c>
      <c r="B140" s="192" t="n"/>
      <c r="C140" s="193" t="n"/>
      <c r="D140" s="193" t="n"/>
      <c r="XEV140" s="199" t="n"/>
      <c r="XEW140" s="199" t="n"/>
      <c r="XEX140" s="199" t="n"/>
      <c r="XEY140" s="199" t="n"/>
      <c r="XEZ140" s="199" t="n"/>
      <c r="XFA140" s="199" t="n"/>
      <c r="XFB140" s="199" t="n"/>
      <c r="XFC140" s="199" t="n"/>
      <c r="XFD140" s="199" t="n"/>
    </row>
    <row r="141" hidden="1" ht="13.8" customHeight="1" s="112">
      <c r="A141" s="191" t="n"/>
      <c r="B141" s="192" t="n"/>
      <c r="C141" s="193" t="n"/>
      <c r="D141" s="193" t="n"/>
    </row>
    <row r="142" hidden="1" ht="13.8" customHeight="1" s="112">
      <c r="A142" s="200" t="inlineStr">
        <is>
          <t>Capital adjusted to zero</t>
        </is>
      </c>
      <c r="B142" s="192" t="n"/>
      <c r="C142" s="193" t="n"/>
      <c r="D142" s="193" t="n"/>
    </row>
    <row r="143" hidden="1" ht="13.8" customHeight="1" s="112">
      <c r="A143" s="201" t="inlineStr">
        <is>
          <t>Receivables adjustment</t>
        </is>
      </c>
      <c r="B143" s="202">
        <f>(0-(B64/B10))*B10*(#REF!/(1+#REF!))</f>
        <v/>
      </c>
      <c r="C143" s="203">
        <f>(0-(C64/C10))*C10*(#REF!/(1+#REF!))</f>
        <v/>
      </c>
      <c r="D143" s="203">
        <f>(0-(D64/D10))*D10*(#REF!/(1+#REF!))</f>
        <v/>
      </c>
    </row>
    <row r="144" hidden="1" ht="13.8" customHeight="1" s="112">
      <c r="A144" s="204" t="inlineStr">
        <is>
          <t>Inventory adjustment</t>
        </is>
      </c>
      <c r="B144" s="205">
        <f>(0-(B65/B107))*B107*#REF!</f>
        <v/>
      </c>
      <c r="C144" s="206">
        <f>(0-(C65/C107))*C107*#REF!</f>
        <v/>
      </c>
      <c r="D144" s="206">
        <f>(0-(D65/D107))*D107*#REF!</f>
        <v/>
      </c>
    </row>
    <row r="145" hidden="1" ht="13.8" customHeight="1" s="112">
      <c r="A145" s="207" t="inlineStr">
        <is>
          <t>Payables adjustment</t>
        </is>
      </c>
      <c r="B145" s="208">
        <f>(0-(B69/B107))*B107*(#REF!/(1+#REF!))</f>
        <v/>
      </c>
      <c r="C145" s="209">
        <f>(0-(C69/C107))*C107*(#REF!/(1+#REF!))</f>
        <v/>
      </c>
      <c r="D145" s="209">
        <f>(0-(D69/D107))*D107*(#REF!/(1+#REF!))</f>
        <v/>
      </c>
    </row>
    <row r="146" hidden="1" ht="13.8" customHeight="1" s="112">
      <c r="A146" s="210" t="n"/>
      <c r="B146" s="192" t="n"/>
      <c r="C146" s="193" t="n"/>
      <c r="D146" s="193" t="n"/>
    </row>
    <row r="147" hidden="1" ht="13.8" customHeight="1" s="112">
      <c r="A147" s="200" t="inlineStr">
        <is>
          <t>Capital adjusted to tested party</t>
        </is>
      </c>
      <c r="B147" s="192" t="n"/>
      <c r="C147" s="193" t="n"/>
      <c r="D147" s="193" t="n"/>
    </row>
    <row r="148" hidden="1" ht="13.8" customHeight="1" s="112">
      <c r="A148" s="211" t="inlineStr">
        <is>
          <t>Receivables adjustment</t>
        </is>
      </c>
      <c r="B148" s="212">
        <f>((#REF!/#REF!)-(B64/B10))*B10*(#REF!/(1+#REF!))</f>
        <v/>
      </c>
      <c r="C148" s="213">
        <f>((#REF!/#REF!)-(C64/C10))*C10*(#REF!/(1+#REF!))</f>
        <v/>
      </c>
      <c r="D148" s="213">
        <f>((#REF!/#REF!)-(D64/D10))*D10*(#REF!/(1+#REF!))</f>
        <v/>
      </c>
    </row>
    <row r="149" hidden="1" ht="13.8" customHeight="1" s="112">
      <c r="A149" s="214" t="inlineStr">
        <is>
          <t>Inventory adjustment</t>
        </is>
      </c>
      <c r="B149" s="215">
        <f>((#REF!/#REF!)-(B65/B107))*B107*#REF!</f>
        <v/>
      </c>
      <c r="C149" s="216">
        <f>((#REF!/#REF!)-(C65/C107))*C107*#REF!</f>
        <v/>
      </c>
      <c r="D149" s="216">
        <f>((#REF!/#REF!)-(D65/D107))*D107*#REF!</f>
        <v/>
      </c>
    </row>
    <row r="150" hidden="1" ht="13.8" customHeight="1" s="112">
      <c r="A150" s="217" t="inlineStr">
        <is>
          <t>Payables adjustment</t>
        </is>
      </c>
      <c r="B150" s="218">
        <f>((#REF!/#REF!)-(B69/B107))*B107*(#REF!/(1+#REF!))</f>
        <v/>
      </c>
      <c r="C150" s="219">
        <f>((#REF!/#REF!)-(C69/C107))*C107*(#REF!/(1+#REF!))</f>
        <v/>
      </c>
      <c r="D150" s="219">
        <f>((#REF!/#REF!)-(D69/D107))*D107*(#REF!/(1+#REF!))</f>
        <v/>
      </c>
    </row>
    <row r="151" ht="13.8" customHeight="1" s="112">
      <c r="A151" s="220" t="n"/>
    </row>
    <row r="152" ht="13.8" customHeight="1" s="112">
      <c r="A152" s="220" t="n"/>
    </row>
    <row r="153" ht="13.8" customHeight="1" s="112">
      <c r="A153" s="220" t="n"/>
    </row>
    <row r="154" ht="13.8" customHeight="1" s="112">
      <c r="A154" s="220" t="n"/>
    </row>
    <row r="155" ht="13.8" customHeight="1" s="112">
      <c r="A155" s="220" t="n"/>
    </row>
    <row r="156" ht="13.8" customHeight="1" s="112">
      <c r="A156" s="220" t="n"/>
    </row>
    <row r="157" ht="13.8" customHeight="1" s="112">
      <c r="A157" s="220" t="n"/>
    </row>
    <row r="158" ht="13.8" customHeight="1" s="112">
      <c r="A158" s="220" t="n"/>
    </row>
    <row r="159" ht="13.8" customHeight="1" s="112">
      <c r="A159" s="220" t="n"/>
    </row>
    <row r="160" ht="13.8" customHeight="1" s="112">
      <c r="A160" s="220" t="n"/>
    </row>
    <row r="161" ht="13.8" customHeight="1" s="112">
      <c r="A161" s="220" t="n"/>
    </row>
    <row r="162" ht="13.8" customHeight="1" s="112">
      <c r="A162" s="220" t="n"/>
    </row>
    <row r="163" ht="13.8" customHeight="1" s="112">
      <c r="A163" s="220" t="n"/>
    </row>
    <row r="164" ht="13.8" customHeight="1" s="112">
      <c r="A164" s="220" t="n"/>
    </row>
    <row r="165" ht="13.8" customHeight="1" s="112">
      <c r="A165" s="220" t="n"/>
    </row>
    <row r="166" ht="13.8" customHeight="1" s="112">
      <c r="A166" s="220" t="n"/>
    </row>
    <row r="167" ht="13.8" customHeight="1" s="112">
      <c r="A167" s="220" t="n"/>
    </row>
    <row r="168" ht="13.8" customHeight="1" s="112">
      <c r="A168" s="220" t="n"/>
    </row>
    <row r="169" ht="13.8" customHeight="1" s="112">
      <c r="A169" s="220" t="n"/>
    </row>
    <row r="170" ht="13.8" customHeight="1" s="112">
      <c r="A170" s="220" t="n"/>
    </row>
    <row r="171" ht="13.8" customHeight="1" s="112">
      <c r="A171" s="220" t="n"/>
    </row>
    <row r="172" ht="13.8" customHeight="1" s="112">
      <c r="A172" s="220" t="n"/>
    </row>
    <row r="173" ht="13.8" customHeight="1" s="112">
      <c r="A173" s="220" t="n"/>
    </row>
    <row r="174" ht="13.8" customHeight="1" s="112">
      <c r="A174" s="220" t="n"/>
    </row>
    <row r="175" ht="13.8" customHeight="1" s="112">
      <c r="A175" s="220" t="n"/>
    </row>
    <row r="176" ht="13.8" customHeight="1" s="112">
      <c r="A176" s="220" t="n"/>
    </row>
    <row r="177" ht="13.8" customHeight="1" s="112">
      <c r="A177" s="220" t="n"/>
    </row>
    <row r="178" ht="13.8" customHeight="1" s="112">
      <c r="A178" s="220" t="n"/>
    </row>
    <row r="179" ht="13.8" customHeight="1" s="112">
      <c r="A179" s="220" t="n"/>
    </row>
    <row r="180" ht="13.8" customHeight="1" s="112">
      <c r="A180" s="220" t="n"/>
    </row>
    <row r="181" ht="13.8" customHeight="1" s="112">
      <c r="A181" s="220" t="n"/>
    </row>
    <row r="182" ht="13.8" customHeight="1" s="112">
      <c r="A182" s="220" t="n"/>
    </row>
    <row r="183" ht="13.8" customHeight="1" s="112">
      <c r="A183" s="220" t="n"/>
    </row>
    <row r="184" ht="13.8" customHeight="1" s="112">
      <c r="A184" s="220" t="n"/>
    </row>
    <row r="185" ht="13.8" customHeight="1" s="112">
      <c r="A185" s="220" t="n"/>
    </row>
    <row r="186" ht="13.8" customHeight="1" s="112">
      <c r="A186" s="220" t="n"/>
    </row>
    <row r="187" ht="13.8" customHeight="1" s="112">
      <c r="A187" s="220" t="n"/>
    </row>
    <row r="188" ht="13.8" customHeight="1" s="112">
      <c r="A188" s="220" t="n"/>
    </row>
    <row r="189" ht="13.8" customHeight="1" s="112">
      <c r="A189" s="220" t="n"/>
    </row>
    <row r="190" ht="13.8" customHeight="1" s="112">
      <c r="A190" s="220" t="n"/>
    </row>
    <row r="191" ht="13.8" customHeight="1" s="112">
      <c r="A191" s="220" t="n"/>
    </row>
    <row r="192" ht="13.8" customHeight="1" s="112">
      <c r="A192" s="220" t="n"/>
    </row>
    <row r="193" ht="13.8" customHeight="1" s="112">
      <c r="A193" s="220" t="n"/>
    </row>
    <row r="194" ht="13.8" customHeight="1" s="112">
      <c r="A194" s="220" t="n"/>
    </row>
    <row r="195" ht="13.8" customHeight="1" s="112">
      <c r="A195" s="220" t="n"/>
    </row>
    <row r="196" ht="13.8" customHeight="1" s="112">
      <c r="A196" s="220" t="n"/>
    </row>
    <row r="197" ht="13.8" customHeight="1" s="112">
      <c r="A197" s="220" t="n"/>
    </row>
    <row r="198" ht="13.8" customHeight="1" s="112">
      <c r="A198" s="220" t="n"/>
    </row>
    <row r="199" ht="13.8" customHeight="1" s="112">
      <c r="A199" s="220" t="n"/>
    </row>
    <row r="200" ht="13.8" customHeight="1" s="112">
      <c r="A200" s="220" t="n"/>
    </row>
    <row r="201" ht="13.8" customHeight="1" s="112">
      <c r="A201" s="220" t="n"/>
    </row>
    <row r="202" ht="13.8" customHeight="1" s="112">
      <c r="A202" s="220" t="n"/>
    </row>
    <row r="203" ht="13.8" customHeight="1" s="112">
      <c r="A203" s="220" t="n"/>
    </row>
    <row r="204" ht="13.8" customHeight="1" s="112">
      <c r="A204" s="220" t="n"/>
    </row>
    <row r="205" ht="13.8" customHeight="1" s="112">
      <c r="A205" s="220" t="n"/>
    </row>
    <row r="206" ht="13.8" customHeight="1" s="112">
      <c r="A206" s="220" t="n"/>
    </row>
    <row r="207" ht="13.8" customHeight="1" s="112">
      <c r="A207" s="220" t="n"/>
    </row>
    <row r="208" ht="13.8" customHeight="1" s="112">
      <c r="A208" s="220" t="n"/>
    </row>
    <row r="209" ht="13.8" customHeight="1" s="112">
      <c r="A209" s="220" t="n"/>
    </row>
    <row r="210" ht="13.8" customHeight="1" s="112">
      <c r="A210" s="220" t="n"/>
    </row>
    <row r="211" ht="13.8" customHeight="1" s="112">
      <c r="A211" s="220" t="n"/>
    </row>
    <row r="212" ht="13.8" customHeight="1" s="112">
      <c r="A212" s="220" t="n"/>
    </row>
    <row r="213" ht="13.8" customHeight="1" s="112">
      <c r="A213" s="220" t="n"/>
    </row>
    <row r="214" ht="13.8" customHeight="1" s="112">
      <c r="A214" s="220" t="n"/>
    </row>
    <row r="215" ht="13.8" customHeight="1" s="112">
      <c r="A215" s="220" t="n"/>
    </row>
    <row r="216" ht="13.8" customHeight="1" s="112">
      <c r="A216" s="220" t="n"/>
    </row>
    <row r="217" ht="13.8" customHeight="1" s="112">
      <c r="A217" s="220" t="n"/>
    </row>
    <row r="218" ht="13.8" customHeight="1" s="112">
      <c r="A218" s="220" t="n"/>
    </row>
    <row r="219" ht="13.8" customHeight="1" s="112">
      <c r="A219" s="220" t="n"/>
    </row>
    <row r="220" ht="13.8" customHeight="1" s="112">
      <c r="A220" s="220" t="n"/>
    </row>
    <row r="221" ht="13.8" customHeight="1" s="112">
      <c r="A221" s="220" t="n"/>
    </row>
    <row r="222" ht="13.8" customHeight="1" s="112">
      <c r="A222" s="220" t="n"/>
    </row>
    <row r="223" ht="13.8" customHeight="1" s="112">
      <c r="A223" s="220" t="n"/>
    </row>
    <row r="224" ht="13.8" customHeight="1" s="112">
      <c r="A224" s="220" t="n"/>
    </row>
    <row r="225" ht="13.8" customHeight="1" s="112">
      <c r="A225" s="220" t="n"/>
    </row>
    <row r="226" ht="13.8" customHeight="1" s="112">
      <c r="A226" s="220" t="n"/>
    </row>
    <row r="227" ht="13.8" customHeight="1" s="112">
      <c r="A227" s="220" t="n"/>
    </row>
    <row r="228" ht="13.8" customHeight="1" s="112">
      <c r="A228" s="220" t="n"/>
    </row>
    <row r="229" ht="13.8" customHeight="1" s="112">
      <c r="A229" s="220" t="n"/>
    </row>
    <row r="230" ht="13.8" customHeight="1" s="112">
      <c r="A230" s="220" t="n"/>
    </row>
    <row r="231" ht="13.8" customHeight="1" s="112">
      <c r="A231" s="220" t="n"/>
    </row>
    <row r="232" ht="13.8" customHeight="1" s="112">
      <c r="A232" s="220" t="n"/>
    </row>
    <row r="233" ht="13.8" customHeight="1" s="112">
      <c r="A233" s="220" t="n"/>
    </row>
    <row r="234" ht="13.8" customHeight="1" s="112">
      <c r="A234" s="220" t="n"/>
    </row>
    <row r="235" ht="13.8" customHeight="1" s="112">
      <c r="A235" s="220" t="n"/>
    </row>
    <row r="236" ht="13.8" customHeight="1" s="112">
      <c r="A236" s="220" t="n"/>
    </row>
    <row r="237" ht="13.8" customHeight="1" s="112">
      <c r="A237" s="220" t="n"/>
    </row>
    <row r="238" ht="13.8" customHeight="1" s="112">
      <c r="A238" s="220" t="n"/>
    </row>
    <row r="239" ht="13.8" customHeight="1" s="112">
      <c r="A239" s="220" t="n"/>
    </row>
    <row r="240" ht="13.8" customHeight="1" s="112">
      <c r="A240" s="220" t="n"/>
    </row>
    <row r="241" ht="13.8" customHeight="1" s="112">
      <c r="A241" s="220" t="n"/>
    </row>
    <row r="242" ht="13.8" customHeight="1" s="112">
      <c r="A242" s="220" t="n"/>
    </row>
    <row r="243" ht="13.8" customHeight="1" s="112">
      <c r="A243" s="220" t="n"/>
    </row>
    <row r="244" ht="13.8" customHeight="1" s="112">
      <c r="A244" s="220" t="n"/>
    </row>
    <row r="245" ht="13.8" customHeight="1" s="112">
      <c r="A245" s="220" t="n"/>
    </row>
    <row r="246" ht="13.8" customHeight="1" s="112">
      <c r="A246" s="220" t="n"/>
    </row>
    <row r="247" ht="13.8" customHeight="1" s="112">
      <c r="A247" s="220" t="n"/>
    </row>
    <row r="248" ht="13.8" customHeight="1" s="112">
      <c r="A248" s="220" t="n"/>
    </row>
    <row r="249" ht="13.8" customHeight="1" s="112">
      <c r="A249" s="220" t="n"/>
    </row>
    <row r="250" ht="13.8" customHeight="1" s="112">
      <c r="A250" s="220" t="n"/>
    </row>
    <row r="251" ht="13.8" customHeight="1" s="112">
      <c r="A251" s="220" t="n"/>
    </row>
    <row r="252" ht="13.8" customHeight="1" s="112">
      <c r="A252" s="220" t="n"/>
    </row>
    <row r="253" ht="13.8" customHeight="1" s="112">
      <c r="A253" s="220" t="n"/>
    </row>
    <row r="254" ht="13.8" customHeight="1" s="112">
      <c r="A254" s="220" t="n"/>
    </row>
    <row r="255" ht="13.8" customHeight="1" s="112">
      <c r="A255" s="220" t="n"/>
    </row>
    <row r="256" ht="13.8" customHeight="1" s="112">
      <c r="A256" s="220" t="n"/>
    </row>
    <row r="257" ht="13.8" customHeight="1" s="112">
      <c r="A257" s="220" t="n"/>
    </row>
    <row r="258" ht="13.8" customHeight="1" s="112">
      <c r="A258" s="220" t="n"/>
    </row>
    <row r="259" ht="13.8" customHeight="1" s="112">
      <c r="A259" s="220" t="n"/>
    </row>
    <row r="260" ht="13.8" customHeight="1" s="112">
      <c r="A260" s="220" t="n"/>
    </row>
    <row r="261" ht="13.8" customHeight="1" s="112">
      <c r="A261" s="220" t="n"/>
    </row>
    <row r="262" ht="13.8" customHeight="1" s="112">
      <c r="A262" s="220" t="n"/>
    </row>
    <row r="263" ht="13.8" customHeight="1" s="112">
      <c r="A263" s="220" t="n"/>
    </row>
    <row r="264" ht="13.8" customHeight="1" s="112">
      <c r="A264" s="220" t="n"/>
    </row>
    <row r="265" ht="13.8" customHeight="1" s="112">
      <c r="A265" s="220" t="n"/>
    </row>
    <row r="266" ht="13.8" customHeight="1" s="112">
      <c r="A266" s="220" t="n"/>
    </row>
    <row r="267" ht="13.8" customHeight="1" s="112">
      <c r="A267" s="220" t="n"/>
    </row>
    <row r="268" ht="13.8" customHeight="1" s="112">
      <c r="A268" s="220" t="n"/>
    </row>
    <row r="269" ht="13.8" customHeight="1" s="112">
      <c r="A269" s="220" t="n"/>
    </row>
    <row r="270" ht="13.8" customHeight="1" s="112">
      <c r="A270" s="220" t="n"/>
    </row>
    <row r="271" ht="13.8" customHeight="1" s="112">
      <c r="A271" s="220" t="n"/>
    </row>
    <row r="272" ht="13.8" customHeight="1" s="112">
      <c r="A272" s="220" t="n"/>
    </row>
    <row r="273" ht="13.8" customHeight="1" s="112">
      <c r="A273" s="220" t="n"/>
    </row>
    <row r="274" ht="13.8" customHeight="1" s="112">
      <c r="A274" s="220" t="n"/>
    </row>
    <row r="275" ht="13.8" customHeight="1" s="112">
      <c r="A275" s="220" t="n"/>
    </row>
    <row r="276" ht="13.8" customHeight="1" s="112">
      <c r="A276" s="220" t="n"/>
    </row>
    <row r="277" ht="13.8" customHeight="1" s="112">
      <c r="A277" s="220" t="n"/>
    </row>
    <row r="278" ht="13.8" customHeight="1" s="112">
      <c r="A278" s="220" t="n"/>
    </row>
    <row r="279" ht="13.8" customHeight="1" s="112">
      <c r="A279" s="220" t="n"/>
    </row>
    <row r="280" ht="13.8" customHeight="1" s="112">
      <c r="A280" s="220" t="n"/>
    </row>
    <row r="281" ht="13.8" customHeight="1" s="112">
      <c r="A281" s="220" t="n"/>
    </row>
    <row r="282" ht="13.8" customHeight="1" s="112">
      <c r="A282" s="220" t="n"/>
    </row>
    <row r="283" ht="13.8" customHeight="1" s="112">
      <c r="A283" s="220" t="n"/>
    </row>
    <row r="284" ht="13.8" customHeight="1" s="112">
      <c r="A284" s="220" t="n"/>
    </row>
    <row r="285" ht="13.8" customHeight="1" s="112">
      <c r="A285" s="220" t="n"/>
    </row>
    <row r="286" ht="13.8" customHeight="1" s="112">
      <c r="A286" s="220" t="n"/>
    </row>
    <row r="287" ht="13.8" customHeight="1" s="112">
      <c r="A287" s="220" t="n"/>
    </row>
    <row r="288" ht="13.8" customHeight="1" s="112">
      <c r="A288" s="220" t="n"/>
    </row>
    <row r="289" ht="13.8" customHeight="1" s="112">
      <c r="A289" s="220" t="n"/>
    </row>
    <row r="290" ht="13.8" customHeight="1" s="112">
      <c r="A290" s="220" t="n"/>
    </row>
    <row r="291" ht="13.8" customHeight="1" s="112">
      <c r="A291" s="220" t="n"/>
    </row>
    <row r="292" ht="13.8" customHeight="1" s="112">
      <c r="A292" s="220" t="n"/>
    </row>
    <row r="293" ht="13.8" customHeight="1" s="112">
      <c r="A293" s="220" t="n"/>
    </row>
    <row r="294" ht="13.8" customHeight="1" s="112">
      <c r="A294" s="220" t="n"/>
    </row>
    <row r="295" ht="13.8" customHeight="1" s="112">
      <c r="A295" s="220" t="n"/>
    </row>
    <row r="296" ht="13.8" customHeight="1" s="112">
      <c r="A296" s="220" t="n"/>
    </row>
    <row r="297" ht="13.8" customHeight="1" s="112">
      <c r="A297" s="220" t="n"/>
    </row>
    <row r="298" ht="13.8" customHeight="1" s="112">
      <c r="A298" s="220" t="n"/>
    </row>
    <row r="299" ht="13.8" customHeight="1" s="112">
      <c r="A299" s="220" t="n"/>
    </row>
    <row r="300" ht="13.8" customHeight="1" s="112">
      <c r="A300" s="220" t="n"/>
    </row>
    <row r="301" ht="13.8" customHeight="1" s="112">
      <c r="A301" s="220" t="n"/>
    </row>
    <row r="302" ht="13.8" customHeight="1" s="112">
      <c r="A302" s="220" t="n"/>
    </row>
    <row r="303" ht="13.8" customHeight="1" s="112">
      <c r="A303" s="220" t="n"/>
    </row>
    <row r="304" ht="13.8" customHeight="1" s="112">
      <c r="A304" s="220" t="n"/>
    </row>
    <row r="305" ht="13.8" customHeight="1" s="112">
      <c r="A305" s="220" t="n"/>
    </row>
    <row r="306" ht="13.8" customHeight="1" s="112">
      <c r="A306" s="220" t="n"/>
    </row>
    <row r="307" ht="13.8" customHeight="1" s="112">
      <c r="A307" s="220" t="n"/>
    </row>
    <row r="308" ht="13.8" customHeight="1" s="112">
      <c r="A308" s="220" t="n"/>
    </row>
    <row r="309" ht="13.8" customHeight="1" s="112">
      <c r="A309" s="220" t="n"/>
    </row>
    <row r="310" ht="13.8" customHeight="1" s="112">
      <c r="A310" s="220" t="n"/>
    </row>
    <row r="311" ht="13.8" customHeight="1" s="112">
      <c r="A311" s="220" t="n"/>
    </row>
    <row r="312" ht="13.8" customHeight="1" s="112">
      <c r="A312" s="220" t="n"/>
    </row>
    <row r="313" ht="13.8" customHeight="1" s="112">
      <c r="A313" s="220" t="n"/>
    </row>
    <row r="314" ht="13.8" customHeight="1" s="112">
      <c r="A314" s="220" t="n"/>
    </row>
    <row r="315" ht="13.8" customHeight="1" s="112">
      <c r="A315" s="220" t="n"/>
    </row>
    <row r="316" ht="13.8" customHeight="1" s="112">
      <c r="A316" s="220" t="n"/>
    </row>
    <row r="317" ht="13.8" customHeight="1" s="112">
      <c r="A317" s="220" t="n"/>
    </row>
    <row r="318" ht="13.8" customHeight="1" s="112">
      <c r="A318" s="220" t="n"/>
    </row>
  </sheetData>
  <printOptions horizontalCentered="0" verticalCentered="0" headings="0" gridLines="0" gridLinesSet="1"/>
  <pageMargins left="0.7" right="0.7" top="0.75" bottom="0.75" header="0.511811023622047" footer="0.511811023622047"/>
  <pageSetup orientation="landscape" paperSize="9" scale="6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A1:J3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E32" activeCellId="0" sqref="E32"/>
    </sheetView>
  </sheetViews>
  <sheetFormatPr baseColWidth="8" defaultColWidth="9.18359375" defaultRowHeight="14.25" customHeight="1" zeroHeight="0" outlineLevelRow="0"/>
  <cols>
    <col width="39.82" customWidth="1" style="152" min="1" max="1"/>
    <col width="14.82" customWidth="1" style="152" min="2" max="2"/>
    <col width="14.82" customWidth="1" style="117" min="3" max="3"/>
    <col width="9.18" customWidth="1" style="154" min="4" max="16384"/>
  </cols>
  <sheetData>
    <row r="1" ht="14.25" customHeight="1" s="112">
      <c r="A1" s="157" t="inlineStr">
        <is>
          <t>TONG HEER FASTENERS CO. SDN. BHD.</t>
        </is>
      </c>
      <c r="B1" s="157" t="n"/>
    </row>
    <row r="2" ht="14.25" customHeight="1" s="112">
      <c r="A2" s="157" t="inlineStr">
        <is>
          <t>2024</t>
        </is>
      </c>
      <c r="B2" s="157" t="n"/>
    </row>
    <row r="3" ht="14.25" customHeight="1" s="112">
      <c r="A3" s="157" t="n"/>
      <c r="B3" s="221" t="n"/>
    </row>
    <row r="4" ht="49.5" customFormat="1" customHeight="1" s="161">
      <c r="A4" s="158" t="inlineStr">
        <is>
          <t>Account description</t>
        </is>
      </c>
      <c r="B4" s="222" t="inlineStr">
        <is>
          <t>2024</t>
        </is>
      </c>
      <c r="C4" s="117" t="n"/>
    </row>
    <row r="5" ht="14.25" customHeight="1" s="112">
      <c r="A5" s="162" t="inlineStr">
        <is>
          <t>Year end date</t>
        </is>
      </c>
      <c r="B5" s="223" t="inlineStr">
        <is>
          <t>2024-12-31</t>
        </is>
      </c>
    </row>
    <row r="6" ht="14.25" customHeight="1" s="112">
      <c r="A6" s="162" t="n"/>
      <c r="B6" s="220" t="n"/>
    </row>
    <row r="7" ht="14.25" customHeight="1" s="112">
      <c r="A7" s="166" t="inlineStr">
        <is>
          <t>Income Statement</t>
        </is>
      </c>
      <c r="B7" s="224" t="n"/>
    </row>
    <row r="8" ht="14.25" customHeight="1" s="112">
      <c r="A8" s="167" t="inlineStr">
        <is>
          <t>Net sales</t>
        </is>
      </c>
      <c r="B8" s="225" t="n">
        <v>143095423</v>
      </c>
    </row>
    <row r="9" ht="14.25" customHeight="1" s="112">
      <c r="A9" s="167" t="inlineStr">
        <is>
          <t>Cost of goods sold</t>
        </is>
      </c>
      <c r="B9" s="225" t="n">
        <v>143876079</v>
      </c>
    </row>
    <row r="10" ht="14.25" customHeight="1" s="112">
      <c r="A10" s="162" t="inlineStr">
        <is>
          <t>Gross profit</t>
        </is>
      </c>
      <c r="B10" s="226">
        <f>IF(B8="",0,IF(AND(B8&lt;&gt;"",B9=""),B8,B8-B9))</f>
        <v/>
      </c>
    </row>
    <row r="11" ht="14.25" customHeight="1" s="112">
      <c r="A11" s="162" t="inlineStr">
        <is>
          <t>Other operating expenses</t>
        </is>
      </c>
      <c r="B11" s="226">
        <f>SUM(B12:B16)</f>
        <v/>
      </c>
    </row>
    <row r="12" ht="14.25" customHeight="1" s="112">
      <c r="A12" s="172" t="inlineStr">
        <is>
          <t>SG&amp;A</t>
        </is>
      </c>
      <c r="B12" s="227" t="n">
        <v>987894</v>
      </c>
    </row>
    <row r="13" ht="14.25" customHeight="1" s="112">
      <c r="A13" s="172" t="inlineStr">
        <is>
          <t>Depreciation and amortization</t>
        </is>
      </c>
      <c r="B13" s="227" t="n">
        <v>5121250</v>
      </c>
    </row>
    <row r="14" ht="14.25" customHeight="1" s="112">
      <c r="A14" s="172" t="inlineStr">
        <is>
          <t>Foreign exchange loss</t>
        </is>
      </c>
      <c r="B14" s="227" t="n">
        <v>486165</v>
      </c>
    </row>
    <row r="15" ht="14.25" customHeight="1" s="112">
      <c r="A15" s="172" t="inlineStr">
        <is>
          <t>Loss on disposal of PPE</t>
        </is>
      </c>
      <c r="B15" s="227" t="n">
        <v>0</v>
      </c>
    </row>
    <row r="16" ht="14.25" customHeight="1" s="112">
      <c r="A16" s="172" t="inlineStr">
        <is>
          <t>Others</t>
        </is>
      </c>
      <c r="B16" s="227" t="n">
        <v>0</v>
      </c>
    </row>
    <row r="17" ht="14.25" customHeight="1" s="112">
      <c r="A17" s="162" t="inlineStr">
        <is>
          <t>Other operating income</t>
        </is>
      </c>
      <c r="B17" s="226">
        <f>SUM(B18:B20)</f>
        <v/>
      </c>
    </row>
    <row r="18" ht="14.25" customHeight="1" s="112">
      <c r="A18" s="172" t="inlineStr">
        <is>
          <t>Foreign exchange gain</t>
        </is>
      </c>
      <c r="B18" s="227" t="n">
        <v>20882</v>
      </c>
    </row>
    <row r="19" ht="14.25" customHeight="1" s="112">
      <c r="A19" s="172" t="inlineStr">
        <is>
          <t>Gain on disposal of PPE</t>
        </is>
      </c>
      <c r="B19" s="227" t="n">
        <v>560000</v>
      </c>
    </row>
    <row r="20" ht="14.25" customHeight="1" s="112">
      <c r="A20" s="172" t="inlineStr">
        <is>
          <t>Others</t>
        </is>
      </c>
      <c r="B20" s="227" t="n">
        <v>195063</v>
      </c>
    </row>
    <row r="21" ht="14.25" customHeight="1" s="112">
      <c r="A21" s="162" t="inlineStr">
        <is>
          <t>Operating profit</t>
        </is>
      </c>
      <c r="B21" s="226">
        <f>B10-(B11-B17)</f>
        <v/>
      </c>
    </row>
    <row r="22" ht="14.25" customHeight="1" s="112">
      <c r="A22" s="162" t="inlineStr">
        <is>
          <t>Non-operating expenses</t>
        </is>
      </c>
      <c r="B22" s="226">
        <f>SUM(B23:B26)</f>
        <v/>
      </c>
    </row>
    <row r="23" ht="14.25" customHeight="1" s="112">
      <c r="A23" s="172" t="inlineStr">
        <is>
          <t>Foreign exchange loss</t>
        </is>
      </c>
      <c r="B23" s="227" t="n">
        <v>0</v>
      </c>
    </row>
    <row r="24" ht="14.25" customHeight="1" s="112">
      <c r="A24" s="172" t="inlineStr">
        <is>
          <t>Loss on disposal of PPE</t>
        </is>
      </c>
      <c r="B24" s="227" t="n">
        <v>0</v>
      </c>
    </row>
    <row r="25" ht="14.25" customHeight="1" s="112">
      <c r="A25" s="172" t="inlineStr">
        <is>
          <t>Interest cost</t>
        </is>
      </c>
      <c r="B25" s="227" t="n">
        <v>56607</v>
      </c>
    </row>
    <row r="26" ht="14.25" customHeight="1" s="112">
      <c r="A26" s="172" t="inlineStr">
        <is>
          <t>Others</t>
        </is>
      </c>
      <c r="B26" s="227" t="n">
        <v>3680</v>
      </c>
    </row>
    <row r="27" ht="14.25" customHeight="1" s="112">
      <c r="A27" s="162" t="inlineStr">
        <is>
          <t>Non-operating income</t>
        </is>
      </c>
      <c r="B27" s="226">
        <f>SUM(B28:B31)</f>
        <v/>
      </c>
    </row>
    <row r="28" ht="14.25" customHeight="1" s="112">
      <c r="A28" s="172" t="inlineStr">
        <is>
          <t>Foreign exchange gain</t>
        </is>
      </c>
      <c r="B28" s="227" t="n">
        <v>0</v>
      </c>
    </row>
    <row r="29" ht="14.25" customHeight="1" s="112">
      <c r="A29" s="172" t="inlineStr">
        <is>
          <t>Gain on disposal of PPE</t>
        </is>
      </c>
      <c r="B29" s="227" t="n">
        <v>0</v>
      </c>
    </row>
    <row r="30" ht="14.25" customHeight="1" s="112">
      <c r="A30" s="172" t="inlineStr">
        <is>
          <t>Interest income</t>
        </is>
      </c>
      <c r="B30" s="227" t="n">
        <v>693954</v>
      </c>
    </row>
    <row r="31" ht="14.25" customHeight="1" s="112">
      <c r="A31" s="172" t="inlineStr">
        <is>
          <t>Others</t>
        </is>
      </c>
      <c r="B31" s="227" t="n">
        <v>3056689</v>
      </c>
    </row>
    <row r="32" ht="14.25" customHeight="1" s="112">
      <c r="A32" s="162" t="inlineStr">
        <is>
          <t>Profit/(loss) before tax</t>
        </is>
      </c>
      <c r="B32" s="228">
        <f>B21-(B22-B27)</f>
        <v/>
      </c>
    </row>
    <row r="33" ht="14.25" customHeight="1" s="112">
      <c r="A33" s="162" t="n"/>
      <c r="B33" s="229" t="n"/>
    </row>
    <row r="34" hidden="1" ht="14.25" customHeight="1" s="112">
      <c r="A34" s="166" t="inlineStr">
        <is>
          <t>Balance Sheet</t>
        </is>
      </c>
      <c r="B34" s="224" t="n"/>
    </row>
    <row r="35" hidden="1" ht="14.25" customHeight="1" s="112">
      <c r="A35" s="175" t="inlineStr">
        <is>
          <t>Assets</t>
        </is>
      </c>
      <c r="B35" s="230" t="n"/>
    </row>
    <row r="36" hidden="1" ht="14.25" customHeight="1" s="112">
      <c r="A36" s="162" t="inlineStr">
        <is>
          <t>Current assets</t>
        </is>
      </c>
      <c r="B36" s="220" t="n">
        <v>200086497</v>
      </c>
    </row>
    <row r="37" hidden="1" ht="14.25" customHeight="1" s="112">
      <c r="A37" s="178" t="inlineStr">
        <is>
          <t>Cash and bank balance</t>
        </is>
      </c>
      <c r="B37" s="231" t="n">
        <v>53243509</v>
      </c>
    </row>
    <row r="38" hidden="1" ht="14.25" customHeight="1" s="112">
      <c r="A38" s="178" t="inlineStr">
        <is>
          <t>Accounts receivable</t>
        </is>
      </c>
      <c r="B38" s="231" t="n">
        <v>16753298</v>
      </c>
    </row>
    <row r="39" hidden="1" ht="14.25" customHeight="1" s="112">
      <c r="A39" s="178" t="inlineStr">
        <is>
          <t>Inventory</t>
        </is>
      </c>
      <c r="B39" s="231" t="n">
        <v>116824281</v>
      </c>
    </row>
    <row r="40" hidden="1" ht="14.25" customHeight="1" s="112">
      <c r="A40" s="178" t="inlineStr">
        <is>
          <t>Others (short term)</t>
        </is>
      </c>
      <c r="B40" s="231" t="n">
        <v>13265409</v>
      </c>
    </row>
    <row r="41" hidden="1" ht="14.25" customHeight="1" s="112">
      <c r="A41" s="162" t="inlineStr">
        <is>
          <t>Fixed assets</t>
        </is>
      </c>
      <c r="B41" s="220" t="n"/>
    </row>
    <row r="42" hidden="1" ht="14.25" customHeight="1" s="112">
      <c r="A42" s="178" t="inlineStr">
        <is>
          <t>PPE (net of depreciation)</t>
        </is>
      </c>
      <c r="B42" s="231" t="n">
        <v>26116302</v>
      </c>
    </row>
    <row r="43" hidden="1" ht="14.25" customHeight="1" s="112">
      <c r="A43" s="178" t="inlineStr">
        <is>
          <t>Intangibles (net of amortization)</t>
        </is>
      </c>
      <c r="B43" s="231" t="n">
        <v>0</v>
      </c>
    </row>
    <row r="44" hidden="1" ht="14.25" customHeight="1" s="112">
      <c r="A44" s="178" t="inlineStr">
        <is>
          <t>Investments</t>
        </is>
      </c>
      <c r="B44" s="231" t="n">
        <v>0</v>
      </c>
    </row>
    <row r="45" hidden="1" ht="14.25" customHeight="1" s="112">
      <c r="A45" s="178" t="inlineStr">
        <is>
          <t>Others</t>
        </is>
      </c>
      <c r="B45" s="231" t="n">
        <v>5702005</v>
      </c>
    </row>
    <row r="46" hidden="1" ht="14.25" customHeight="1" s="112">
      <c r="A46" s="162" t="inlineStr">
        <is>
          <t>Other assets</t>
        </is>
      </c>
      <c r="B46" s="220" t="n">
        <v>0</v>
      </c>
    </row>
    <row r="47" hidden="1" ht="14.25" customHeight="1" s="112">
      <c r="A47" s="162" t="inlineStr">
        <is>
          <t>Total assets</t>
        </is>
      </c>
      <c r="B47" s="220" t="n"/>
    </row>
    <row r="48" hidden="1" ht="14.25" customHeight="1" s="112">
      <c r="A48" s="175" t="inlineStr">
        <is>
          <t>Liabilities</t>
        </is>
      </c>
      <c r="B48" s="230" t="n"/>
    </row>
    <row r="49" hidden="1" ht="14.25" customHeight="1" s="112">
      <c r="A49" s="162" t="inlineStr">
        <is>
          <t>Current liabilities</t>
        </is>
      </c>
      <c r="B49" s="220" t="n"/>
    </row>
    <row r="50" hidden="1" ht="14.25" customHeight="1" s="112">
      <c r="A50" s="178" t="inlineStr">
        <is>
          <t>Accounts payable</t>
        </is>
      </c>
      <c r="B50" s="231" t="n">
        <v>11923621</v>
      </c>
    </row>
    <row r="51" hidden="1" ht="14.25" customHeight="1" s="112">
      <c r="A51" s="178" t="inlineStr">
        <is>
          <t>Others (short term)</t>
        </is>
      </c>
      <c r="B51" s="231" t="n">
        <v>882328</v>
      </c>
    </row>
    <row r="52" hidden="1" ht="14.25" customHeight="1" s="112">
      <c r="A52" s="162" t="inlineStr">
        <is>
          <t>Long term liabilities</t>
        </is>
      </c>
      <c r="B52" s="220" t="n"/>
    </row>
    <row r="53" hidden="1" ht="14.25" customHeight="1" s="112">
      <c r="A53" s="178" t="inlineStr">
        <is>
          <t>Long term debt</t>
        </is>
      </c>
      <c r="B53" s="231" t="n">
        <v>0</v>
      </c>
    </row>
    <row r="54" hidden="1" ht="14.25" customHeight="1" s="112">
      <c r="A54" s="178" t="inlineStr">
        <is>
          <t>Others (long term)</t>
        </is>
      </c>
      <c r="B54" s="231" t="n">
        <v>1598000</v>
      </c>
    </row>
    <row r="55" hidden="1" ht="14.25" customHeight="1" s="112">
      <c r="A55" s="162" t="inlineStr">
        <is>
          <t>Shareholders' equity</t>
        </is>
      </c>
      <c r="B55" s="220" t="n">
        <v>204572985</v>
      </c>
    </row>
    <row r="56" hidden="1" ht="14.25" customHeight="1" s="112">
      <c r="A56" s="178" t="inlineStr">
        <is>
          <t>Issued share capital</t>
        </is>
      </c>
      <c r="B56" s="231" t="n">
        <v>29100000</v>
      </c>
    </row>
    <row r="57" hidden="1" ht="14.25" customHeight="1" s="112">
      <c r="A57" s="178" t="inlineStr">
        <is>
          <t>Reserves and surplus</t>
        </is>
      </c>
      <c r="B57" s="231" t="n">
        <v>175472985</v>
      </c>
    </row>
    <row r="58" hidden="1" ht="14.25" customHeight="1" s="112">
      <c r="A58" s="162" t="inlineStr">
        <is>
          <t>Total liabilities and shareholders' equity</t>
        </is>
      </c>
      <c r="B58" s="220" t="n"/>
    </row>
    <row r="59" hidden="1" ht="14.25" customHeight="1" s="112">
      <c r="A59" s="162" t="n"/>
      <c r="B59" s="220" t="n"/>
    </row>
    <row r="60" hidden="1" ht="14.25" customHeight="1" s="112">
      <c r="A60" s="166" t="inlineStr">
        <is>
          <t>Average Balance Sheet</t>
        </is>
      </c>
      <c r="B60" s="224" t="n"/>
    </row>
    <row r="61" hidden="1" ht="14.25" customHeight="1" s="112">
      <c r="A61" s="175" t="inlineStr">
        <is>
          <t>Assets</t>
        </is>
      </c>
      <c r="B61" s="230" t="n"/>
    </row>
    <row r="62" hidden="1" ht="14.25" customHeight="1" s="112">
      <c r="A62" s="178" t="inlineStr">
        <is>
          <t>Accounts receivable</t>
        </is>
      </c>
      <c r="B62" s="231" t="n"/>
    </row>
    <row r="63" hidden="1" ht="14.25" customHeight="1" s="112">
      <c r="A63" s="178" t="inlineStr">
        <is>
          <t>Inventory</t>
        </is>
      </c>
      <c r="B63" s="231" t="n"/>
    </row>
    <row r="64" hidden="1" ht="14.25" customHeight="1" s="112">
      <c r="A64" s="178" t="inlineStr">
        <is>
          <t>Investments</t>
        </is>
      </c>
      <c r="B64" s="231" t="n"/>
    </row>
    <row r="65" hidden="1" ht="14.25" customHeight="1" s="112">
      <c r="A65" s="178" t="inlineStr">
        <is>
          <t>Total assets</t>
        </is>
      </c>
      <c r="B65" s="231" t="n"/>
    </row>
    <row r="66" hidden="1" ht="14.25" customHeight="1" s="112">
      <c r="A66" s="175" t="inlineStr">
        <is>
          <t>Liabilities</t>
        </is>
      </c>
      <c r="B66" s="230" t="n"/>
    </row>
    <row r="67" hidden="1" ht="14.25" customHeight="1" s="112">
      <c r="A67" s="178" t="inlineStr">
        <is>
          <t>Accounts payable</t>
        </is>
      </c>
      <c r="B67" s="231" t="n"/>
    </row>
    <row r="68" hidden="1" ht="14.25" customHeight="1" s="112">
      <c r="A68" s="178" t="n"/>
      <c r="B68" s="231" t="n"/>
    </row>
    <row r="69" ht="14.25" customHeight="1" s="112">
      <c r="A69" s="166" t="inlineStr">
        <is>
          <t>Profit level indicators</t>
        </is>
      </c>
      <c r="B69" s="224" t="n"/>
    </row>
    <row r="70" hidden="1" ht="14.25" customHeight="1" s="112">
      <c r="A70" s="175" t="inlineStr">
        <is>
          <t>Operating profit margin</t>
        </is>
      </c>
      <c r="B70" s="230" t="n"/>
    </row>
    <row r="71" hidden="1" ht="14.25" customHeight="1" s="112">
      <c r="A71" s="178" t="inlineStr">
        <is>
          <t>OPM - unadjusted</t>
        </is>
      </c>
      <c r="B71" s="232">
        <f>B21/B8</f>
        <v/>
      </c>
    </row>
    <row r="72" hidden="1" ht="14.25" customHeight="1" s="112">
      <c r="A72" s="178" t="inlineStr">
        <is>
          <t>Operating Margin (%)</t>
        </is>
      </c>
      <c r="B72" s="231">
        <f>B23/B10*100</f>
        <v/>
      </c>
    </row>
    <row r="73" hidden="1" ht="14.25" customHeight="1" s="112">
      <c r="A73" s="178" t="inlineStr">
        <is>
          <t>OPM - capital adjusted to tested party</t>
        </is>
      </c>
      <c r="B73" s="231" t="n"/>
    </row>
    <row r="74" hidden="1" ht="14.25" customHeight="1" s="112">
      <c r="A74" s="162" t="n"/>
      <c r="B74" s="220" t="n"/>
    </row>
    <row r="75" hidden="1" ht="14.25" customHeight="1" s="112">
      <c r="A75" s="175" t="inlineStr">
        <is>
          <t>Gross margin (net sales)</t>
        </is>
      </c>
      <c r="B75" s="230" t="n"/>
    </row>
    <row r="76" hidden="1" ht="14.25" customHeight="1" s="112">
      <c r="A76" s="178" t="inlineStr">
        <is>
          <t>GM - unadjusted</t>
        </is>
      </c>
      <c r="B76" s="231" t="n"/>
    </row>
    <row r="77" hidden="1" ht="14.25" customHeight="1" s="112">
      <c r="A77" s="178" t="inlineStr">
        <is>
          <t>Gross Margin on Net Sales (%)</t>
        </is>
      </c>
      <c r="B77" s="231">
        <f>B12/B10*100</f>
        <v/>
      </c>
    </row>
    <row r="78" hidden="1" ht="14.25" customHeight="1" s="112">
      <c r="A78" s="178" t="inlineStr">
        <is>
          <t>GM - capital adjusted to tested party</t>
        </is>
      </c>
      <c r="B78" s="231" t="n"/>
    </row>
    <row r="79" hidden="1" ht="14.25" customHeight="1" s="112">
      <c r="A79" s="162" t="n"/>
      <c r="B79" s="220" t="n"/>
    </row>
    <row r="80" hidden="1" ht="14.25" customHeight="1" s="112">
      <c r="A80" s="175" t="inlineStr">
        <is>
          <t>Gross margin (cost of goods sold)</t>
        </is>
      </c>
      <c r="B80" s="230" t="n"/>
    </row>
    <row r="81" hidden="1" ht="14.25" customHeight="1" s="112">
      <c r="A81" s="178" t="inlineStr">
        <is>
          <t>GM - unadjusted</t>
        </is>
      </c>
      <c r="B81" s="231" t="n"/>
    </row>
    <row r="82" hidden="1" ht="14.25" customHeight="1" s="112">
      <c r="A82" s="178" t="inlineStr">
        <is>
          <t>GM - capital adjusted to zero</t>
        </is>
      </c>
      <c r="B82" s="231" t="n"/>
    </row>
    <row r="83" hidden="1" ht="14.25" customHeight="1" s="112">
      <c r="A83" s="178" t="inlineStr">
        <is>
          <t>GM - capital adjusted to tested party</t>
        </is>
      </c>
      <c r="B83" s="231" t="n"/>
    </row>
    <row r="84" hidden="1" ht="14.25" customHeight="1" s="112">
      <c r="A84" s="162" t="n"/>
      <c r="B84" s="220" t="n"/>
    </row>
    <row r="85" ht="14.25" customHeight="1" s="112">
      <c r="A85" s="175" t="inlineStr">
        <is>
          <t>Mark-up on total cost</t>
        </is>
      </c>
      <c r="B85" s="230" t="n"/>
    </row>
    <row r="86" ht="14.25" customHeight="1" s="112">
      <c r="A86" s="183" t="inlineStr">
        <is>
          <t>MOTC - unadjusted</t>
        </is>
      </c>
      <c r="B86" s="233">
        <f>B21/B105</f>
        <v/>
      </c>
    </row>
    <row r="87" hidden="1" ht="14.25" customHeight="1" s="112">
      <c r="A87" s="231" t="inlineStr">
        <is>
          <t>Net Cost Plus (%)</t>
        </is>
      </c>
      <c r="B87" s="234">
        <f>B23/(B11+B13)*100</f>
        <v/>
      </c>
    </row>
    <row r="88" hidden="1" ht="14.25" customHeight="1" s="112">
      <c r="A88" s="231" t="inlineStr">
        <is>
          <t>NCP - capital adjusted to tested party</t>
        </is>
      </c>
      <c r="B88" s="234">
        <f>B131/B135</f>
        <v/>
      </c>
    </row>
    <row r="89" hidden="1" ht="14.25" customHeight="1" s="112">
      <c r="A89" s="231" t="n"/>
      <c r="B89" s="235" t="n"/>
    </row>
    <row r="90" hidden="1" ht="14.25" customHeight="1" s="112">
      <c r="A90" s="230" t="inlineStr">
        <is>
          <t>Berry ratio</t>
        </is>
      </c>
      <c r="B90" s="235" t="n"/>
    </row>
    <row r="91" hidden="1" ht="14.25" customHeight="1" s="112">
      <c r="A91" s="231" t="inlineStr">
        <is>
          <t>BR - unadjusted</t>
        </is>
      </c>
      <c r="B91" s="236">
        <f>B10/(B10-B21)</f>
        <v/>
      </c>
    </row>
    <row r="92" hidden="1" ht="14.25" customHeight="1" s="112">
      <c r="A92" s="231" t="inlineStr">
        <is>
          <t>BR - capital adjusted to zero</t>
        </is>
      </c>
      <c r="B92" s="236">
        <f>B126/(B126-B130)</f>
        <v/>
      </c>
    </row>
    <row r="93" hidden="1" ht="14.25" customHeight="1" s="112">
      <c r="A93" s="231" t="inlineStr">
        <is>
          <t>BR - capital adjusted to tested party</t>
        </is>
      </c>
      <c r="B93" s="236">
        <f>B127/(B127-B131)</f>
        <v/>
      </c>
    </row>
    <row r="94" hidden="1" ht="14.25" customHeight="1" s="112">
      <c r="A94" s="220" t="n"/>
      <c r="B94" s="235" t="n"/>
    </row>
    <row r="95" hidden="1" ht="14.25" customHeight="1" s="112">
      <c r="A95" s="230" t="inlineStr">
        <is>
          <t>Return on assets</t>
        </is>
      </c>
      <c r="B95" s="235" t="n"/>
    </row>
    <row r="96" hidden="1" ht="14.25" customHeight="1" s="112">
      <c r="A96" s="231" t="inlineStr">
        <is>
          <t>RoA - unadjusted</t>
        </is>
      </c>
      <c r="B96" s="234">
        <f>B21/B103</f>
        <v/>
      </c>
    </row>
    <row r="97" hidden="1" ht="14.25" customHeight="1" s="112">
      <c r="A97" s="231" t="inlineStr">
        <is>
          <t>Return on Assets (%)</t>
        </is>
      </c>
      <c r="B97" s="234">
        <f>B23/B49*100</f>
        <v/>
      </c>
    </row>
    <row r="98" hidden="1" ht="14.25" customHeight="1" s="112">
      <c r="A98" s="231" t="inlineStr">
        <is>
          <t>RoA - capital adjusted to tested party</t>
        </is>
      </c>
      <c r="B98" s="234">
        <f>B131/B103</f>
        <v/>
      </c>
    </row>
    <row r="99" hidden="1" ht="14.25" customHeight="1" s="112">
      <c r="A99" s="231" t="n"/>
      <c r="B99" s="235" t="n"/>
    </row>
    <row r="100" hidden="1" ht="14.25" customHeight="1" s="112">
      <c r="A100" s="220" t="n"/>
      <c r="B100" s="235" t="n"/>
    </row>
    <row r="101" hidden="1" ht="14.25" customHeight="1" s="112">
      <c r="A101" s="237" t="inlineStr">
        <is>
          <t>Constructed values</t>
        </is>
      </c>
      <c r="B101" s="192" t="n"/>
    </row>
    <row r="102" hidden="1" ht="14.25" customHeight="1" s="112">
      <c r="A102" s="237" t="n"/>
      <c r="B102" s="192" t="n"/>
    </row>
    <row r="103" hidden="1" ht="14.25" customHeight="1" s="112">
      <c r="A103" s="238" t="inlineStr">
        <is>
          <t>Operating assets</t>
        </is>
      </c>
      <c r="B103" s="192">
        <f>B65-B64</f>
        <v/>
      </c>
    </row>
    <row r="104" hidden="1" ht="14.25" customHeight="1" s="112">
      <c r="A104" s="238" t="n"/>
      <c r="B104" s="192" t="n"/>
    </row>
    <row r="105" ht="14.25" customHeight="1" s="112">
      <c r="A105" s="238" t="inlineStr">
        <is>
          <t>Total cost</t>
        </is>
      </c>
      <c r="B105" s="197">
        <f>B9+B11</f>
        <v/>
      </c>
    </row>
    <row r="106" hidden="1" ht="14.25" customHeight="1" s="112">
      <c r="A106" s="238" t="n"/>
      <c r="B106" s="238" t="n"/>
    </row>
    <row r="107" hidden="1" ht="14.25" customHeight="1" s="112">
      <c r="A107" s="239" t="inlineStr">
        <is>
          <t>Capital adjusted to zero</t>
        </is>
      </c>
      <c r="B107" s="239" t="n"/>
    </row>
    <row r="108" hidden="1" ht="14.25" customHeight="1" s="112">
      <c r="A108" s="240" t="inlineStr">
        <is>
          <t>Receivables adjustment</t>
        </is>
      </c>
      <c r="B108" s="240" t="n"/>
    </row>
    <row r="109" hidden="1" ht="14.25" customHeight="1" s="112">
      <c r="A109" s="240" t="inlineStr">
        <is>
          <t>Inventory adjustment</t>
        </is>
      </c>
      <c r="B109" s="240" t="n"/>
    </row>
    <row r="110" hidden="1" ht="14.25" customHeight="1" s="112">
      <c r="A110" s="240" t="inlineStr">
        <is>
          <t>Payables adjustment</t>
        </is>
      </c>
      <c r="B110" s="240" t="n"/>
    </row>
    <row r="111" hidden="1" ht="14.25" customHeight="1" s="112">
      <c r="A111" s="240" t="n"/>
      <c r="B111" s="240" t="n"/>
    </row>
    <row r="112" hidden="1" ht="14.25" customHeight="1" s="112">
      <c r="A112" s="239" t="inlineStr">
        <is>
          <t>Capital adjusted to tested party</t>
        </is>
      </c>
      <c r="B112" s="239" t="n"/>
    </row>
    <row r="113" hidden="1" ht="14.25" customHeight="1" s="112">
      <c r="A113" s="240" t="inlineStr">
        <is>
          <t>Receivables adjustment</t>
        </is>
      </c>
      <c r="B113" s="240" t="n"/>
    </row>
    <row r="114" hidden="1" ht="14.25" customHeight="1" s="112">
      <c r="A114" s="240" t="inlineStr">
        <is>
          <t>Inventory adjustment</t>
        </is>
      </c>
      <c r="B114" s="240" t="n"/>
    </row>
    <row r="115" hidden="1" ht="14.25" customHeight="1" s="112">
      <c r="A115" s="240" t="inlineStr">
        <is>
          <t>Payables adjustment</t>
        </is>
      </c>
      <c r="B115" s="240" t="n"/>
    </row>
    <row r="116" hidden="1" ht="14.25" customHeight="1" s="112">
      <c r="A116" s="240" t="n"/>
      <c r="B116" s="240" t="n"/>
    </row>
    <row r="117" hidden="1" ht="14.25" customHeight="1" s="112">
      <c r="A117" s="238" t="inlineStr">
        <is>
          <t>Adjusted net sales</t>
        </is>
      </c>
      <c r="B117" s="238" t="n"/>
    </row>
    <row r="118" hidden="1" ht="14.25" customHeight="1" s="112">
      <c r="A118" s="240" t="inlineStr">
        <is>
          <t>Adjusted to zero</t>
        </is>
      </c>
      <c r="B118" s="240" t="n"/>
    </row>
    <row r="119" hidden="1" ht="14.25" customHeight="1" s="112">
      <c r="A119" s="240" t="inlineStr">
        <is>
          <t>Adjusted to tested party</t>
        </is>
      </c>
      <c r="B119" s="240" t="n"/>
    </row>
    <row r="120" hidden="1" ht="14.25" customHeight="1" s="112">
      <c r="A120" s="240" t="n"/>
      <c r="B120" s="240" t="n"/>
    </row>
    <row r="121" hidden="1" ht="14.25" customHeight="1" s="112">
      <c r="A121" s="238" t="inlineStr">
        <is>
          <t>Adjusted cost of goods sold</t>
        </is>
      </c>
      <c r="B121" s="238" t="n"/>
    </row>
    <row r="122" hidden="1" ht="14.25" customHeight="1" s="112">
      <c r="A122" s="240" t="inlineStr">
        <is>
          <t>Adjusted to zero</t>
        </is>
      </c>
      <c r="B122" s="240" t="n"/>
    </row>
    <row r="123" hidden="1" ht="14.25" customHeight="1" s="112">
      <c r="A123" s="240" t="inlineStr">
        <is>
          <t>Adjusted to tested party</t>
        </is>
      </c>
      <c r="B123" s="240" t="n"/>
    </row>
    <row r="124" hidden="1" ht="14.25" customHeight="1" s="112">
      <c r="A124" s="240" t="n"/>
      <c r="B124" s="240" t="n"/>
    </row>
    <row r="125" hidden="1" ht="14.25" customHeight="1" s="112">
      <c r="A125" s="238" t="inlineStr">
        <is>
          <t>Adjusted gross profit</t>
        </is>
      </c>
      <c r="B125" s="238" t="n"/>
    </row>
    <row r="126" hidden="1" ht="14.25" customHeight="1" s="112">
      <c r="A126" s="240" t="inlineStr">
        <is>
          <t>Adjusted to zero</t>
        </is>
      </c>
      <c r="B126" s="240" t="n"/>
    </row>
    <row r="127" hidden="1" ht="14.25" customHeight="1" s="112">
      <c r="A127" s="240" t="inlineStr">
        <is>
          <t>Adjusted to tested party</t>
        </is>
      </c>
      <c r="B127" s="240" t="n"/>
    </row>
    <row r="128" hidden="1" ht="14.25" customHeight="1" s="112">
      <c r="A128" s="240" t="n"/>
      <c r="B128" s="240" t="n"/>
    </row>
    <row r="129" hidden="1" ht="14.25" customHeight="1" s="112">
      <c r="A129" s="238" t="inlineStr">
        <is>
          <t>Adjusted operating profit</t>
        </is>
      </c>
      <c r="B129" s="238" t="n"/>
    </row>
    <row r="130" hidden="1" ht="14.25" customHeight="1" s="112">
      <c r="A130" s="240" t="inlineStr">
        <is>
          <t>Adjusted to zero</t>
        </is>
      </c>
      <c r="B130" s="240" t="n"/>
    </row>
    <row r="131" hidden="1" ht="14.25" customHeight="1" s="112">
      <c r="A131" s="240" t="inlineStr">
        <is>
          <t>Adjusted to tested party</t>
        </is>
      </c>
      <c r="B131" s="240" t="n"/>
    </row>
    <row r="132" hidden="1" ht="14.25" customHeight="1" s="112">
      <c r="A132" s="240" t="n"/>
      <c r="B132" s="240" t="n"/>
    </row>
    <row r="133" hidden="1" ht="14.25" customHeight="1" s="112">
      <c r="A133" s="238" t="inlineStr">
        <is>
          <t>Adjusted total cost</t>
        </is>
      </c>
      <c r="B133" s="238" t="n"/>
    </row>
    <row r="134" hidden="1" ht="14.25" customHeight="1" s="112">
      <c r="A134" s="240" t="inlineStr">
        <is>
          <t>Adjusted to zero</t>
        </is>
      </c>
      <c r="B134" s="240" t="n"/>
    </row>
    <row r="135" hidden="1" ht="14.25" customHeight="1" s="112">
      <c r="A135" s="240" t="inlineStr">
        <is>
          <t>Adjusted to tested party</t>
        </is>
      </c>
      <c r="B135" s="240" t="n"/>
    </row>
    <row r="136" hidden="1" ht="14.25" customHeight="1" s="112">
      <c r="A136" s="220" t="n"/>
      <c r="B136" s="220" t="n"/>
    </row>
    <row r="137" hidden="1" ht="14.25" customHeight="1" s="112">
      <c r="A137" s="220" t="n"/>
      <c r="B137" s="220" t="n"/>
    </row>
    <row r="138" hidden="1" ht="14.25" customHeight="1" s="112">
      <c r="A138" s="237" t="inlineStr">
        <is>
          <t>Service company adjustments</t>
        </is>
      </c>
      <c r="B138" s="237" t="n"/>
    </row>
    <row r="139" hidden="1" ht="14.25" customHeight="1" s="112">
      <c r="A139" s="237" t="n"/>
      <c r="B139" s="237" t="n"/>
    </row>
    <row r="140" hidden="1" ht="14.25" customHeight="1" s="112">
      <c r="A140" s="239" t="inlineStr">
        <is>
          <t>Capital adjusted to zero</t>
        </is>
      </c>
      <c r="B140" s="239" t="n"/>
    </row>
    <row r="141" hidden="1" ht="14.25" customHeight="1" s="112">
      <c r="A141" s="240" t="inlineStr">
        <is>
          <t>Receivables adjustment</t>
        </is>
      </c>
      <c r="B141" s="240" t="n"/>
    </row>
    <row r="142" hidden="1" ht="14.25" customHeight="1" s="112">
      <c r="A142" s="240" t="inlineStr">
        <is>
          <t>Inventory adjustment</t>
        </is>
      </c>
      <c r="B142" s="240" t="n"/>
    </row>
    <row r="143" hidden="1" ht="14.25" customHeight="1" s="112">
      <c r="A143" s="240" t="inlineStr">
        <is>
          <t>Payables adjustment</t>
        </is>
      </c>
      <c r="B143" s="240" t="n"/>
    </row>
    <row r="144" hidden="1" ht="14.25" customHeight="1" s="112">
      <c r="A144" s="240" t="n"/>
      <c r="B144" s="240" t="n"/>
    </row>
    <row r="145" hidden="1" ht="14.25" customHeight="1" s="112">
      <c r="A145" s="239" t="inlineStr">
        <is>
          <t>Capital adjusted to tested party</t>
        </is>
      </c>
      <c r="B145" s="239" t="n"/>
    </row>
    <row r="146" hidden="1" ht="14.25" customHeight="1" s="112">
      <c r="A146" s="240" t="inlineStr">
        <is>
          <t>Receivables adjustment</t>
        </is>
      </c>
      <c r="B146" s="240" t="n"/>
    </row>
    <row r="147" hidden="1" ht="14.25" customHeight="1" s="112">
      <c r="A147" s="240" t="inlineStr">
        <is>
          <t>Inventory adjustment</t>
        </is>
      </c>
      <c r="B147" s="240" t="n"/>
    </row>
    <row r="148" hidden="1" ht="14.25" customHeight="1" s="112">
      <c r="A148" s="240" t="inlineStr">
        <is>
          <t>Payables adjustment</t>
        </is>
      </c>
      <c r="B148" s="240" t="n"/>
    </row>
    <row r="149" ht="14.25" customHeight="1" s="112">
      <c r="A149" s="220" t="n"/>
      <c r="B149" s="220" t="n"/>
    </row>
    <row r="150" ht="14.25" customHeight="1" s="112">
      <c r="A150" s="220" t="n"/>
      <c r="B150" s="220" t="n"/>
    </row>
    <row r="151" ht="14.25" customHeight="1" s="112">
      <c r="A151" s="220" t="n"/>
      <c r="B151" s="220" t="n"/>
    </row>
    <row r="152" ht="14.25" customHeight="1" s="112">
      <c r="A152" s="220" t="n"/>
      <c r="B152" s="220" t="n"/>
    </row>
    <row r="153" ht="14.25" customHeight="1" s="112">
      <c r="A153" s="220" t="n"/>
      <c r="B153" s="220" t="n"/>
    </row>
    <row r="154" ht="14.25" customHeight="1" s="112">
      <c r="A154" s="220" t="n"/>
      <c r="B154" s="220" t="n"/>
    </row>
    <row r="155" ht="14.25" customHeight="1" s="112">
      <c r="A155" s="220" t="n"/>
      <c r="B155" s="220" t="n"/>
    </row>
    <row r="156" ht="14.25" customHeight="1" s="112">
      <c r="A156" s="220" t="n"/>
      <c r="B156" s="220" t="n"/>
    </row>
    <row r="157" ht="14.25" customHeight="1" s="112">
      <c r="A157" s="220" t="n"/>
      <c r="B157" s="220" t="n"/>
    </row>
    <row r="158" ht="14.25" customHeight="1" s="112">
      <c r="A158" s="220" t="n"/>
      <c r="B158" s="220" t="n"/>
    </row>
    <row r="159" ht="14.25" customHeight="1" s="112">
      <c r="A159" s="220" t="n"/>
      <c r="B159" s="220" t="n"/>
    </row>
    <row r="160" ht="14.25" customHeight="1" s="112">
      <c r="A160" s="220" t="n"/>
      <c r="B160" s="220" t="n"/>
    </row>
    <row r="161" ht="14.25" customHeight="1" s="112">
      <c r="A161" s="220" t="n"/>
      <c r="B161" s="220" t="n"/>
    </row>
    <row r="162" ht="14.25" customHeight="1" s="112">
      <c r="A162" s="220" t="n"/>
      <c r="B162" s="220" t="n"/>
    </row>
    <row r="163" ht="14.25" customHeight="1" s="112">
      <c r="A163" s="220" t="n"/>
      <c r="B163" s="220" t="n"/>
    </row>
    <row r="164" ht="14.25" customHeight="1" s="112">
      <c r="A164" s="220" t="n"/>
      <c r="B164" s="220" t="n"/>
    </row>
    <row r="165" ht="14.25" customHeight="1" s="112">
      <c r="A165" s="220" t="n"/>
      <c r="B165" s="220" t="n"/>
    </row>
    <row r="166" ht="14.25" customHeight="1" s="112">
      <c r="A166" s="220" t="n"/>
      <c r="B166" s="220" t="n"/>
    </row>
    <row r="167" ht="14.25" customHeight="1" s="112">
      <c r="A167" s="220" t="n"/>
      <c r="B167" s="220" t="n"/>
    </row>
    <row r="168" ht="14.25" customHeight="1" s="112">
      <c r="A168" s="220" t="n"/>
      <c r="B168" s="220" t="n"/>
    </row>
    <row r="169" ht="14.25" customHeight="1" s="112">
      <c r="A169" s="220" t="n"/>
      <c r="B169" s="220" t="n"/>
    </row>
    <row r="170" ht="14.25" customHeight="1" s="112">
      <c r="A170" s="220" t="n"/>
      <c r="B170" s="220" t="n"/>
    </row>
    <row r="171" ht="14.25" customHeight="1" s="112">
      <c r="A171" s="220" t="n"/>
      <c r="B171" s="220" t="n"/>
    </row>
    <row r="172" ht="14.25" customHeight="1" s="112">
      <c r="A172" s="220" t="n"/>
      <c r="B172" s="220" t="n"/>
    </row>
    <row r="173" ht="14.25" customHeight="1" s="112">
      <c r="A173" s="220" t="n"/>
      <c r="B173" s="220" t="n"/>
    </row>
    <row r="174" ht="14.25" customHeight="1" s="112">
      <c r="A174" s="220" t="n"/>
      <c r="B174" s="220" t="n"/>
    </row>
    <row r="175" ht="14.25" customHeight="1" s="112">
      <c r="A175" s="220" t="n"/>
      <c r="B175" s="220" t="n"/>
    </row>
    <row r="176" ht="14.25" customHeight="1" s="112">
      <c r="A176" s="220" t="n"/>
      <c r="B176" s="220" t="n"/>
    </row>
    <row r="177" ht="14.25" customHeight="1" s="112">
      <c r="A177" s="220" t="n"/>
      <c r="B177" s="220" t="n"/>
    </row>
    <row r="178" ht="14.25" customHeight="1" s="112">
      <c r="A178" s="220" t="n"/>
      <c r="B178" s="220" t="n"/>
    </row>
    <row r="179" ht="14.25" customHeight="1" s="112">
      <c r="A179" s="220" t="n"/>
      <c r="B179" s="220" t="n"/>
    </row>
    <row r="180" ht="14.25" customHeight="1" s="112">
      <c r="A180" s="220" t="n"/>
      <c r="B180" s="220" t="n"/>
    </row>
    <row r="181" ht="14.25" customHeight="1" s="112">
      <c r="A181" s="220" t="n"/>
      <c r="B181" s="220" t="n"/>
    </row>
    <row r="182" ht="14.25" customHeight="1" s="112">
      <c r="A182" s="220" t="n"/>
      <c r="B182" s="220" t="n"/>
    </row>
    <row r="183" ht="14.25" customHeight="1" s="112">
      <c r="A183" s="220" t="n"/>
      <c r="B183" s="220" t="n"/>
    </row>
    <row r="184" ht="14.25" customHeight="1" s="112">
      <c r="A184" s="220" t="n"/>
      <c r="B184" s="220" t="n"/>
    </row>
    <row r="185" ht="14.25" customHeight="1" s="112">
      <c r="A185" s="220" t="n"/>
      <c r="B185" s="220" t="n"/>
    </row>
    <row r="186" ht="14.25" customHeight="1" s="112">
      <c r="A186" s="220" t="n"/>
      <c r="B186" s="220" t="n"/>
    </row>
    <row r="187" ht="14.25" customHeight="1" s="112">
      <c r="A187" s="220" t="n"/>
      <c r="B187" s="220" t="n"/>
    </row>
    <row r="188" ht="14.25" customHeight="1" s="112">
      <c r="A188" s="220" t="n"/>
      <c r="B188" s="220" t="n"/>
    </row>
    <row r="189" ht="14.25" customHeight="1" s="112">
      <c r="A189" s="220" t="n"/>
      <c r="B189" s="220" t="n"/>
    </row>
    <row r="190" ht="14.25" customHeight="1" s="112">
      <c r="A190" s="220" t="n"/>
      <c r="B190" s="220" t="n"/>
    </row>
    <row r="191" ht="14.25" customHeight="1" s="112">
      <c r="A191" s="220" t="n"/>
      <c r="B191" s="220" t="n"/>
    </row>
    <row r="192" ht="14.25" customHeight="1" s="112">
      <c r="A192" s="220" t="n"/>
      <c r="B192" s="220" t="n"/>
    </row>
    <row r="193" ht="14.25" customHeight="1" s="112">
      <c r="A193" s="220" t="n"/>
      <c r="B193" s="220" t="n"/>
    </row>
    <row r="194" ht="14.25" customHeight="1" s="112">
      <c r="A194" s="220" t="n"/>
      <c r="B194" s="220" t="n"/>
    </row>
    <row r="195" ht="14.25" customHeight="1" s="112">
      <c r="A195" s="220" t="n"/>
      <c r="B195" s="220" t="n"/>
    </row>
    <row r="196" ht="14.25" customHeight="1" s="112">
      <c r="A196" s="220" t="n"/>
      <c r="B196" s="220" t="n"/>
    </row>
    <row r="197" ht="14.25" customHeight="1" s="112">
      <c r="A197" s="220" t="n"/>
      <c r="B197" s="220" t="n"/>
    </row>
    <row r="198" ht="14.25" customHeight="1" s="112">
      <c r="A198" s="220" t="n"/>
      <c r="B198" s="220" t="n"/>
    </row>
    <row r="199" ht="14.25" customHeight="1" s="112">
      <c r="A199" s="220" t="n"/>
      <c r="B199" s="220" t="n"/>
    </row>
    <row r="200" ht="14.25" customHeight="1" s="112">
      <c r="A200" s="220" t="n"/>
      <c r="B200" s="220" t="n"/>
    </row>
    <row r="201" ht="14.25" customHeight="1" s="112">
      <c r="A201" s="220" t="n"/>
      <c r="B201" s="220" t="n"/>
    </row>
    <row r="202" ht="14.25" customHeight="1" s="112">
      <c r="A202" s="220" t="n"/>
      <c r="B202" s="220" t="n"/>
    </row>
    <row r="203" ht="14.25" customHeight="1" s="112">
      <c r="A203" s="220" t="n"/>
      <c r="B203" s="220" t="n"/>
    </row>
    <row r="204" ht="14.25" customHeight="1" s="112">
      <c r="A204" s="220" t="n"/>
      <c r="B204" s="220" t="n"/>
    </row>
    <row r="205" ht="14.25" customHeight="1" s="112">
      <c r="A205" s="220" t="n"/>
      <c r="B205" s="220" t="n"/>
    </row>
    <row r="206" ht="14.25" customHeight="1" s="112">
      <c r="A206" s="220" t="n"/>
      <c r="B206" s="220" t="n"/>
    </row>
    <row r="207" ht="14.25" customHeight="1" s="112">
      <c r="A207" s="220" t="n"/>
      <c r="B207" s="220" t="n"/>
    </row>
    <row r="208" ht="14.25" customHeight="1" s="112">
      <c r="A208" s="220" t="n"/>
      <c r="B208" s="220" t="n"/>
    </row>
    <row r="209" ht="14.25" customHeight="1" s="112">
      <c r="A209" s="220" t="n"/>
      <c r="B209" s="220" t="n"/>
    </row>
    <row r="210" ht="14.25" customHeight="1" s="112">
      <c r="A210" s="220" t="n"/>
      <c r="B210" s="220" t="n"/>
    </row>
    <row r="211" ht="14.25" customHeight="1" s="112">
      <c r="A211" s="220" t="n"/>
      <c r="B211" s="220" t="n"/>
    </row>
    <row r="212" ht="14.25" customHeight="1" s="112">
      <c r="A212" s="220" t="n"/>
      <c r="B212" s="220" t="n"/>
    </row>
    <row r="213" ht="14.25" customHeight="1" s="112">
      <c r="A213" s="220" t="n"/>
      <c r="B213" s="220" t="n"/>
    </row>
    <row r="214" ht="14.25" customHeight="1" s="112">
      <c r="A214" s="220" t="n"/>
      <c r="B214" s="220" t="n"/>
    </row>
    <row r="215" ht="14.25" customHeight="1" s="112">
      <c r="A215" s="220" t="n"/>
      <c r="B215" s="220" t="n"/>
    </row>
    <row r="216" ht="14.25" customHeight="1" s="112">
      <c r="A216" s="220" t="n"/>
      <c r="B216" s="220" t="n"/>
    </row>
    <row r="217" ht="14.25" customHeight="1" s="112">
      <c r="A217" s="220" t="n"/>
      <c r="B217" s="220" t="n"/>
    </row>
    <row r="218" ht="14.25" customHeight="1" s="112">
      <c r="A218" s="220" t="n"/>
      <c r="B218" s="220" t="n"/>
    </row>
    <row r="219" ht="14.25" customHeight="1" s="112">
      <c r="A219" s="220" t="n"/>
      <c r="B219" s="220" t="n"/>
    </row>
    <row r="220" ht="14.25" customHeight="1" s="112">
      <c r="A220" s="220" t="n"/>
      <c r="B220" s="220" t="n"/>
    </row>
    <row r="221" ht="14.25" customHeight="1" s="112">
      <c r="A221" s="220" t="n"/>
      <c r="B221" s="220" t="n"/>
    </row>
    <row r="222" ht="14.25" customHeight="1" s="112">
      <c r="A222" s="220" t="n"/>
      <c r="B222" s="220" t="n"/>
    </row>
    <row r="223" ht="14.25" customHeight="1" s="112">
      <c r="A223" s="220" t="n"/>
      <c r="B223" s="220" t="n"/>
    </row>
    <row r="224" ht="14.25" customHeight="1" s="112">
      <c r="A224" s="220" t="n"/>
      <c r="B224" s="220" t="n"/>
    </row>
    <row r="225" ht="14.25" customHeight="1" s="112">
      <c r="A225" s="220" t="n"/>
      <c r="B225" s="220" t="n"/>
    </row>
    <row r="226" ht="14.25" customHeight="1" s="112">
      <c r="A226" s="220" t="n"/>
      <c r="B226" s="220" t="n"/>
    </row>
    <row r="227" ht="14.25" customHeight="1" s="112">
      <c r="A227" s="220" t="n"/>
      <c r="B227" s="220" t="n"/>
    </row>
    <row r="228" ht="14.25" customHeight="1" s="112">
      <c r="A228" s="220" t="n"/>
      <c r="B228" s="220" t="n"/>
    </row>
    <row r="229" ht="14.25" customHeight="1" s="112">
      <c r="A229" s="220" t="n"/>
      <c r="B229" s="220" t="n"/>
    </row>
    <row r="230" ht="14.25" customHeight="1" s="112">
      <c r="A230" s="220" t="n"/>
      <c r="B230" s="220" t="n"/>
    </row>
    <row r="231" ht="14.25" customHeight="1" s="112">
      <c r="A231" s="220" t="n"/>
      <c r="B231" s="220" t="n"/>
    </row>
    <row r="232" ht="14.25" customHeight="1" s="112">
      <c r="A232" s="220" t="n"/>
      <c r="B232" s="220" t="n"/>
    </row>
    <row r="233" ht="14.25" customHeight="1" s="112">
      <c r="A233" s="220" t="n"/>
      <c r="B233" s="220" t="n"/>
    </row>
    <row r="234" ht="14.25" customHeight="1" s="112">
      <c r="A234" s="220" t="n"/>
      <c r="B234" s="220" t="n"/>
    </row>
    <row r="235" ht="14.25" customHeight="1" s="112">
      <c r="A235" s="220" t="n"/>
      <c r="B235" s="220" t="n"/>
    </row>
    <row r="236" ht="14.25" customHeight="1" s="112">
      <c r="A236" s="220" t="n"/>
      <c r="B236" s="220" t="n"/>
    </row>
    <row r="237" ht="14.25" customHeight="1" s="112">
      <c r="A237" s="220" t="n"/>
      <c r="B237" s="220" t="n"/>
    </row>
    <row r="238" ht="14.25" customHeight="1" s="112">
      <c r="A238" s="220" t="n"/>
      <c r="B238" s="220" t="n"/>
    </row>
    <row r="239" ht="14.25" customHeight="1" s="112">
      <c r="A239" s="220" t="n"/>
      <c r="B239" s="220" t="n"/>
    </row>
    <row r="240" ht="14.25" customHeight="1" s="112">
      <c r="A240" s="220" t="n"/>
      <c r="B240" s="220" t="n"/>
    </row>
    <row r="241" ht="14.25" customHeight="1" s="112">
      <c r="A241" s="220" t="n"/>
      <c r="B241" s="220" t="n"/>
    </row>
    <row r="242" ht="14.25" customHeight="1" s="112">
      <c r="A242" s="220" t="n"/>
      <c r="B242" s="220" t="n"/>
    </row>
    <row r="243" ht="14.25" customHeight="1" s="112">
      <c r="A243" s="220" t="n"/>
      <c r="B243" s="220" t="n"/>
    </row>
    <row r="244" ht="14.25" customHeight="1" s="112">
      <c r="A244" s="220" t="n"/>
      <c r="B244" s="220" t="n"/>
    </row>
    <row r="245" ht="14.25" customHeight="1" s="112">
      <c r="A245" s="220" t="n"/>
      <c r="B245" s="220" t="n"/>
    </row>
    <row r="246" ht="14.25" customHeight="1" s="112">
      <c r="A246" s="220" t="n"/>
      <c r="B246" s="220" t="n"/>
    </row>
    <row r="247" ht="14.25" customHeight="1" s="112">
      <c r="A247" s="220" t="n"/>
      <c r="B247" s="220" t="n"/>
    </row>
    <row r="248" ht="14.25" customHeight="1" s="112">
      <c r="A248" s="220" t="n"/>
      <c r="B248" s="220" t="n"/>
    </row>
    <row r="249" ht="14.25" customHeight="1" s="112">
      <c r="A249" s="220" t="n"/>
      <c r="B249" s="220" t="n"/>
    </row>
    <row r="250" ht="14.25" customHeight="1" s="112">
      <c r="A250" s="220" t="n"/>
      <c r="B250" s="220" t="n"/>
    </row>
    <row r="251" ht="14.25" customHeight="1" s="112">
      <c r="A251" s="220" t="n"/>
      <c r="B251" s="220" t="n"/>
    </row>
    <row r="252" ht="14.25" customHeight="1" s="112">
      <c r="A252" s="220" t="n"/>
      <c r="B252" s="220" t="n"/>
    </row>
    <row r="253" ht="14.25" customHeight="1" s="112">
      <c r="A253" s="220" t="n"/>
      <c r="B253" s="220" t="n"/>
    </row>
    <row r="254" ht="14.25" customHeight="1" s="112">
      <c r="A254" s="220" t="n"/>
      <c r="B254" s="220" t="n"/>
    </row>
    <row r="255" ht="14.25" customHeight="1" s="112">
      <c r="A255" s="220" t="n"/>
      <c r="B255" s="220" t="n"/>
    </row>
    <row r="256" ht="14.25" customHeight="1" s="112">
      <c r="A256" s="220" t="n"/>
      <c r="B256" s="220" t="n"/>
    </row>
    <row r="257" ht="14.25" customHeight="1" s="112">
      <c r="A257" s="220" t="n"/>
      <c r="B257" s="220" t="n"/>
    </row>
    <row r="258" ht="14.25" customHeight="1" s="112">
      <c r="A258" s="220" t="n"/>
      <c r="B258" s="220" t="n"/>
    </row>
    <row r="259" ht="14.25" customHeight="1" s="112">
      <c r="A259" s="220" t="n"/>
      <c r="B259" s="220" t="n"/>
    </row>
    <row r="260" ht="14.25" customHeight="1" s="112">
      <c r="A260" s="220" t="n"/>
      <c r="B260" s="220" t="n"/>
    </row>
    <row r="261" ht="14.25" customHeight="1" s="112">
      <c r="A261" s="220" t="n"/>
      <c r="B261" s="220" t="n"/>
    </row>
    <row r="262" ht="14.25" customHeight="1" s="112">
      <c r="A262" s="220" t="n"/>
      <c r="B262" s="220" t="n"/>
    </row>
    <row r="263" ht="14.25" customHeight="1" s="112">
      <c r="A263" s="220" t="n"/>
      <c r="B263" s="220" t="n"/>
    </row>
    <row r="264" ht="14.25" customHeight="1" s="112">
      <c r="A264" s="220" t="n"/>
      <c r="B264" s="220" t="n"/>
    </row>
    <row r="265" ht="14.25" customHeight="1" s="112">
      <c r="A265" s="220" t="n"/>
      <c r="B265" s="220" t="n"/>
    </row>
    <row r="266" ht="14.25" customHeight="1" s="112">
      <c r="A266" s="220" t="n"/>
      <c r="B266" s="220" t="n"/>
    </row>
    <row r="267" ht="14.25" customHeight="1" s="112">
      <c r="A267" s="220" t="n"/>
      <c r="B267" s="220" t="n"/>
    </row>
    <row r="268" ht="14.25" customHeight="1" s="112">
      <c r="A268" s="220" t="n"/>
      <c r="B268" s="220" t="n"/>
    </row>
    <row r="269" ht="14.25" customHeight="1" s="112">
      <c r="A269" s="220" t="n"/>
      <c r="B269" s="220" t="n"/>
    </row>
    <row r="270" ht="14.25" customHeight="1" s="112">
      <c r="A270" s="220" t="n"/>
      <c r="B270" s="220" t="n"/>
    </row>
    <row r="271" ht="14.25" customHeight="1" s="112">
      <c r="A271" s="220" t="n"/>
      <c r="B271" s="220" t="n"/>
    </row>
    <row r="272" ht="14.25" customHeight="1" s="112">
      <c r="A272" s="220" t="n"/>
      <c r="B272" s="220" t="n"/>
    </row>
    <row r="273" ht="14.25" customHeight="1" s="112">
      <c r="A273" s="220" t="n"/>
      <c r="B273" s="220" t="n"/>
    </row>
    <row r="274" ht="14.25" customHeight="1" s="112">
      <c r="A274" s="220" t="n"/>
      <c r="B274" s="220" t="n"/>
    </row>
    <row r="275" ht="14.25" customHeight="1" s="112">
      <c r="A275" s="220" t="n"/>
      <c r="B275" s="220" t="n"/>
    </row>
    <row r="276" ht="14.25" customHeight="1" s="112">
      <c r="A276" s="220" t="n"/>
      <c r="B276" s="220" t="n"/>
    </row>
    <row r="277" ht="14.25" customHeight="1" s="112">
      <c r="A277" s="220" t="n"/>
      <c r="B277" s="220" t="n"/>
    </row>
    <row r="278" ht="14.25" customHeight="1" s="112">
      <c r="A278" s="220" t="n"/>
      <c r="B278" s="220" t="n"/>
    </row>
    <row r="279" ht="14.25" customHeight="1" s="112">
      <c r="A279" s="220" t="n"/>
      <c r="B279" s="220" t="n"/>
    </row>
    <row r="280" ht="14.25" customHeight="1" s="112">
      <c r="A280" s="220" t="n"/>
      <c r="B280" s="220" t="n"/>
    </row>
    <row r="281" ht="14.25" customHeight="1" s="112">
      <c r="A281" s="220" t="n"/>
      <c r="B281" s="220" t="n"/>
    </row>
    <row r="282" ht="14.25" customHeight="1" s="112">
      <c r="A282" s="220" t="n"/>
      <c r="B282" s="220" t="n"/>
    </row>
    <row r="283" ht="14.25" customHeight="1" s="112">
      <c r="A283" s="220" t="n"/>
      <c r="B283" s="220" t="n"/>
    </row>
    <row r="284" ht="14.25" customHeight="1" s="112">
      <c r="A284" s="220" t="n"/>
      <c r="B284" s="220" t="n"/>
    </row>
    <row r="285" ht="14.25" customHeight="1" s="112">
      <c r="A285" s="220" t="n"/>
      <c r="B285" s="220" t="n"/>
    </row>
    <row r="286" ht="14.25" customHeight="1" s="112">
      <c r="A286" s="220" t="n"/>
      <c r="B286" s="220" t="n"/>
    </row>
    <row r="287" ht="14.25" customHeight="1" s="112">
      <c r="A287" s="220" t="n"/>
      <c r="B287" s="220" t="n"/>
    </row>
    <row r="288" ht="14.25" customHeight="1" s="112">
      <c r="A288" s="220" t="n"/>
      <c r="B288" s="220" t="n"/>
    </row>
    <row r="289" ht="14.25" customHeight="1" s="112">
      <c r="A289" s="220" t="n"/>
      <c r="B289" s="220" t="n"/>
    </row>
    <row r="290" ht="14.25" customHeight="1" s="112">
      <c r="A290" s="220" t="n"/>
      <c r="B290" s="220" t="n"/>
    </row>
    <row r="291" ht="14.25" customHeight="1" s="112">
      <c r="A291" s="220" t="n"/>
      <c r="B291" s="220" t="n"/>
    </row>
    <row r="292" ht="14.25" customHeight="1" s="112">
      <c r="A292" s="220" t="n"/>
      <c r="B292" s="220" t="n"/>
    </row>
    <row r="293" ht="14.25" customHeight="1" s="112">
      <c r="A293" s="220" t="n"/>
      <c r="B293" s="220" t="n"/>
    </row>
    <row r="294" ht="14.25" customHeight="1" s="112">
      <c r="A294" s="220" t="n"/>
      <c r="B294" s="220" t="n"/>
    </row>
    <row r="295" ht="14.25" customHeight="1" s="112">
      <c r="A295" s="220" t="n"/>
      <c r="B295" s="220" t="n"/>
    </row>
    <row r="296" ht="14.25" customHeight="1" s="112">
      <c r="A296" s="220" t="n"/>
      <c r="B296" s="220" t="n"/>
    </row>
    <row r="297" ht="14.25" customHeight="1" s="112">
      <c r="A297" s="220" t="n"/>
      <c r="B297" s="220" t="n"/>
    </row>
    <row r="298" ht="14.25" customHeight="1" s="112">
      <c r="A298" s="220" t="n"/>
      <c r="B298" s="220" t="n"/>
    </row>
    <row r="299" ht="14.25" customHeight="1" s="112">
      <c r="A299" s="220" t="n"/>
      <c r="B299" s="220" t="n"/>
    </row>
    <row r="300" ht="14.25" customHeight="1" s="112">
      <c r="A300" s="220" t="n"/>
      <c r="B300" s="220" t="n"/>
    </row>
    <row r="301" ht="14.25" customHeight="1" s="112">
      <c r="A301" s="220" t="n"/>
      <c r="B301" s="220" t="n"/>
    </row>
    <row r="302" ht="14.25" customHeight="1" s="112">
      <c r="A302" s="220" t="n"/>
      <c r="B302" s="220" t="n"/>
    </row>
    <row r="303" ht="14.25" customHeight="1" s="112">
      <c r="A303" s="220" t="n"/>
      <c r="B303" s="220" t="n"/>
    </row>
    <row r="304" ht="14.25" customHeight="1" s="112">
      <c r="A304" s="220" t="n"/>
      <c r="B304" s="220" t="n"/>
    </row>
    <row r="305" ht="14.25" customHeight="1" s="112">
      <c r="A305" s="220" t="n"/>
      <c r="B305" s="220" t="n"/>
    </row>
    <row r="306" ht="14.25" customHeight="1" s="112">
      <c r="A306" s="220" t="n"/>
      <c r="B306" s="220" t="n"/>
    </row>
    <row r="307" ht="14.25" customHeight="1" s="112">
      <c r="A307" s="220" t="n"/>
      <c r="B307" s="220" t="n"/>
    </row>
    <row r="308" ht="14.25" customHeight="1" s="112">
      <c r="A308" s="220" t="n"/>
      <c r="B308" s="220" t="n"/>
    </row>
    <row r="309" ht="14.25" customHeight="1" s="112">
      <c r="A309" s="220" t="n"/>
      <c r="B309" s="220" t="n"/>
    </row>
    <row r="310" ht="14.25" customHeight="1" s="112">
      <c r="A310" s="220" t="n"/>
      <c r="B310" s="220" t="n"/>
    </row>
    <row r="311" ht="14.25" customHeight="1" s="112">
      <c r="A311" s="220" t="n"/>
      <c r="B311" s="220" t="n"/>
    </row>
    <row r="312" ht="14.25" customHeight="1" s="112">
      <c r="A312" s="220" t="n"/>
      <c r="B312" s="220" t="n"/>
    </row>
    <row r="313" ht="14.25" customHeight="1" s="112">
      <c r="A313" s="220" t="n"/>
      <c r="B313" s="220" t="n"/>
    </row>
    <row r="314" ht="14.25" customHeight="1" s="112">
      <c r="A314" s="220" t="n"/>
      <c r="B314" s="220" t="n"/>
    </row>
    <row r="315" ht="14.25" customHeight="1" s="112">
      <c r="A315" s="220" t="n"/>
      <c r="B315" s="220" t="n"/>
    </row>
    <row r="316" ht="14.25" customHeight="1" s="112">
      <c r="A316" s="220" t="n"/>
      <c r="B316" s="220" t="n"/>
    </row>
  </sheetData>
  <printOptions horizontalCentered="0" verticalCentered="0" headings="0" gridLines="0" gridLinesSet="1"/>
  <pageMargins left="0.7" right="0.7" top="0.75" bottom="0.75" header="0.3" footer="0.511811023622047"/>
  <pageSetup orientation="portrait" paperSize="9" scale="90" fitToHeight="1" fitToWidth="1" pageOrder="downThenOver" blackAndWhite="0" draft="0" horizontalDpi="300" verticalDpi="300" copies="1"/>
  <headerFooter differentOddEven="0" differentFirst="0">
    <oddHeader>&amp;R&amp;"Calibri Light,Bold"&amp;10 Appendix 8</oddHeader>
    <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8" customWidth="1" style="112" min="1" max="1"/>
    <col width="20" customWidth="1" style="112" min="2" max="2"/>
    <col width="16" customWidth="1" style="112" min="3" max="3"/>
    <col width="35" customWidth="1" style="112" min="4" max="4"/>
    <col width="22" customWidth="1" style="112" min="5" max="5"/>
    <col width="50" customWidth="1" style="112" min="6" max="6"/>
    <col width="12" customWidth="1" style="112" min="7" max="7"/>
    <col width="20" customWidth="1" style="112" min="8" max="8"/>
    <col width="18" customWidth="1" style="112" min="9" max="9"/>
    <col width="40" customWidth="1" style="112" min="10" max="10"/>
  </cols>
  <sheetData>
    <row r="1" ht="24" customHeight="1" s="112">
      <c r="A1" s="241" t="inlineStr">
        <is>
          <t>Review Log</t>
        </is>
      </c>
    </row>
    <row r="2">
      <c r="A2" s="242" t="inlineStr">
        <is>
          <t>Review comments - 0 total</t>
        </is>
      </c>
    </row>
    <row r="4" ht="30" customHeight="1" s="112">
      <c r="A4" s="243" t="inlineStr">
        <is>
          <t>Date</t>
        </is>
      </c>
      <c r="B4" s="243" t="inlineStr">
        <is>
          <t>Author</t>
        </is>
      </c>
      <c r="C4" s="243" t="inlineStr">
        <is>
          <t>Phase</t>
        </is>
      </c>
      <c r="D4" s="243" t="inlineStr">
        <is>
          <t>Company</t>
        </is>
      </c>
      <c r="E4" s="243" t="inlineStr">
        <is>
          <t>Field</t>
        </is>
      </c>
      <c r="F4" s="243" t="inlineStr">
        <is>
          <t>Comment</t>
        </is>
      </c>
      <c r="G4" s="243" t="inlineStr">
        <is>
          <t>Status</t>
        </is>
      </c>
      <c r="H4" s="243" t="inlineStr">
        <is>
          <t>Resolved By</t>
        </is>
      </c>
      <c r="I4" s="243" t="inlineStr">
        <is>
          <t>Resolution Date</t>
        </is>
      </c>
      <c r="J4" s="243" t="inlineStr">
        <is>
          <t>Resolution Note</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Mohamad Haris, Nur Husnina Irennie</dc:creator>
  <dc:language xmlns:dc="http://purl.org/dc/elements/1.1/">en-US</dc:language>
  <dcterms:created xmlns:dcterms="http://purl.org/dc/terms/" xmlns:xsi="http://www.w3.org/2001/XMLSchema-instance" xsi:type="dcterms:W3CDTF">2025-06-19T07:58:09Z</dcterms:created>
  <dcterms:modified xmlns:dcterms="http://purl.org/dc/terms/" xmlns:xsi="http://www.w3.org/2001/XMLSchema-instance" xsi:type="dcterms:W3CDTF">2026-02-24T15:17:59Z</dcterms:modified>
  <cp:revision>7</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0x01010072340DAEA0B0A84DA21E58A540485551</vt:lpwstr>
  </property>
</Properties>
</file>